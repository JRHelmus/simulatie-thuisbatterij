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envatting" sheetId="1" state="visible" r:id="rId3"/>
    <sheet name="Instellingen" sheetId="2" state="visible" r:id="rId4"/>
    <sheet name="Data" sheetId="3" state="visible" r:id="rId5"/>
    <sheet name="Verdel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Ideale grootte = MIN( √η × MIN(teruglevering, kW × uren teruglevering) ; MIN(afname PV uit, kW × uren PV uit) / √η ). Links: wat je kunt opslaan, rechts: wat je 's nachts kunt gebruiken.</t>
        </r>
      </text>
    </comment>
  </commentList>
</comments>
</file>

<file path=xl/sharedStrings.xml><?xml version="1.0" encoding="utf-8"?>
<sst xmlns="http://schemas.openxmlformats.org/spreadsheetml/2006/main" count="472" uniqueCount="57">
  <si>
    <t xml:space="preserve">Thuisbatterij V2: ideale accugrootte</t>
  </si>
  <si>
    <t xml:space="preserve">Ontladen alleen in uren zonder teruglevering (PV uit).</t>
  </si>
  <si>
    <t xml:space="preserve">Accuvermogen (kW)</t>
  </si>
  <si>
    <t xml:space="preserve">Rendement round-trip</t>
  </si>
  <si>
    <t xml:space="preserve">Periode van</t>
  </si>
  <si>
    <t xml:space="preserve">Periode tot</t>
  </si>
  <si>
    <t xml:space="preserve">Aantal dagen</t>
  </si>
  <si>
    <t xml:space="preserve">Afname totaal (kWh)</t>
  </si>
  <si>
    <t xml:space="preserve">Teruglevering totaal (kWh)</t>
  </si>
  <si>
    <t xml:space="preserve">Afname bij PV uit totaal (kWh)</t>
  </si>
  <si>
    <t xml:space="preserve">Aandeel afname bij PV uit</t>
  </si>
  <si>
    <t xml:space="preserve">Ideale accugrootte (kWh)</t>
  </si>
  <si>
    <t xml:space="preserve">Periode</t>
  </si>
  <si>
    <t xml:space="preserve">Dagen</t>
  </si>
  <si>
    <t xml:space="preserve">Gemiddelde</t>
  </si>
  <si>
    <t xml:space="preserve">Mediaan</t>
  </si>
  <si>
    <t xml:space="preserve">P80</t>
  </si>
  <si>
    <t xml:space="preserve">P90</t>
  </si>
  <si>
    <t xml:space="preserve">Maximum</t>
  </si>
  <si>
    <t xml:space="preserve">Mediaan simulatie</t>
  </si>
  <si>
    <t xml:space="preserve">Heel jaar</t>
  </si>
  <si>
    <t xml:space="preserve">Winter</t>
  </si>
  <si>
    <t xml:space="preserve">-</t>
  </si>
  <si>
    <t xml:space="preserve">Lente</t>
  </si>
  <si>
    <t xml:space="preserve">Zomer</t>
  </si>
  <si>
    <t xml:space="preserve">Herfst</t>
  </si>
  <si>
    <t xml:space="preserve">De Excel-berekening werkt met dagtotalen per venster (eerste teruglevering tot eerste teruglevering de volgende dag) en is daardoor iets ruimer dan de uursimulatie uit de notebook (kolom J op Data). De uursimulatie rekent met een vast vermogen van 2,5 kW; wijzig je het vermogen hier, dan verandert alleen de Excel-berekening.</t>
  </si>
  <si>
    <t xml:space="preserve">Datakwaliteit: 9 dagen zonder meetdata (27–29 nov, 5 en 10–12 dec 2025, 3 jul en 28 aug 2026). De dag na zo'n gat bevat de ingehaalde afname in één keer, bijvoorbeeld 81,6 kWh op 30 nov 2025.</t>
  </si>
  <si>
    <t xml:space="preserve">Jaaropbrengst per batterijgrootte (uursimulatie notebook)</t>
  </si>
  <si>
    <t xml:space="preserve">Capaciteit (kWh)</t>
  </si>
  <si>
    <t xml:space="preserve">Verschoven per jaar (kWh)</t>
  </si>
  <si>
    <t xml:space="preserve">Extra per kWh capaciteit</t>
  </si>
  <si>
    <t xml:space="preserve">Bron: batterij_simulatie_v2.ipynb in Home Assistant, uurdata slimme meter 29-08-2025 t/m 02-10-2026 (400 dagen).</t>
  </si>
  <si>
    <t xml:space="preserve">Instellingen</t>
  </si>
  <si>
    <t xml:space="preserve">Gele cellen kun je aanpassen; alle berekeningen rekenen mee.</t>
  </si>
  <si>
    <t xml:space="preserve">Laad- en ontlaadvermogen van de batterij.</t>
  </si>
  <si>
    <t xml:space="preserve">Verlies over laden plus ontladen samen.</t>
  </si>
  <si>
    <t xml:space="preserve">Klassebreedte histogram (kWh)</t>
  </si>
  <si>
    <t xml:space="preserve">Breedte van de staven in de verdeling.</t>
  </si>
  <si>
    <t xml:space="preserve">√ rendement (enkele richting)</t>
  </si>
  <si>
    <t xml:space="preserve">Datum</t>
  </si>
  <si>
    <t xml:space="preserve">Afname (kWh)</t>
  </si>
  <si>
    <t xml:space="preserve">Teruglevering (kWh)</t>
  </si>
  <si>
    <t xml:space="preserve">Afname PV uit (kWh)</t>
  </si>
  <si>
    <t xml:space="preserve">Seizoen</t>
  </si>
  <si>
    <t xml:space="preserve">Venster: teruglevering (kWh)</t>
  </si>
  <si>
    <t xml:space="preserve">Venster: uren met teruglevering</t>
  </si>
  <si>
    <t xml:space="preserve">Venster: afname PV uit (kWh)</t>
  </si>
  <si>
    <t xml:space="preserve">Venster: uren PV uit</t>
  </si>
  <si>
    <t xml:space="preserve">Ideaal simulatie notebook (kWh)</t>
  </si>
  <si>
    <t xml:space="preserve">Ideale accugrootte Excel (kWh)</t>
  </si>
  <si>
    <t xml:space="preserve">Verdeling ideale accugrootte (aantal dagen per klasse)</t>
  </si>
  <si>
    <t xml:space="preserve">Van (kWh)</t>
  </si>
  <si>
    <t xml:space="preserve">Tot (kWh)</t>
  </si>
  <si>
    <t xml:space="preserve">Klasse</t>
  </si>
  <si>
    <t xml:space="preserve">Totaal</t>
  </si>
  <si>
    <t xml:space="preserve">Waarden boven de laatste klasse vallen buiten de tabel; vergroot dan de klassebreedte op Instellingen.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</si>
</sst>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%"/>
    <numFmt numFmtId="167" formatCode="dd\-mm\-yyyy"/>
    <numFmt numFmtId="168" formatCode="0"/>
    <numFmt numFmtId="169" formatCode="#,##0"/>
    <numFmt numFmtId="170" formatCode="General"/>
    <numFmt numFmtId="171" formatCode="0.000"/>
    <numFmt numFmtId="172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7AB0"/>
        <bgColor rgb="FF4F81B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2A7AB0"/>
      <rgbColor rgb="FFBBBBBB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Ideale accugrootte: heel jaar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Verdeling!D3</c:f>
              <c:strCache>
                <c:ptCount val="1"/>
                <c:pt idx="0">
                  <c:v>Heel jaar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Verdeling!$C$4:$C$22</c:f>
              <c:strCache>
                <c:ptCount val="19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  <c:pt idx="4">
                  <c:v>4–5</c:v>
                </c:pt>
                <c:pt idx="5">
                  <c:v>5–6</c:v>
                </c:pt>
                <c:pt idx="6">
                  <c:v>6–7</c:v>
                </c:pt>
                <c:pt idx="7">
                  <c:v>7–8</c:v>
                </c:pt>
                <c:pt idx="8">
                  <c:v>8–9</c:v>
                </c:pt>
                <c:pt idx="9">
                  <c:v>9–10</c:v>
                </c:pt>
                <c:pt idx="10">
                  <c:v>10–11</c:v>
                </c:pt>
                <c:pt idx="11">
                  <c:v>11–12</c:v>
                </c:pt>
                <c:pt idx="12">
                  <c:v>12–13</c:v>
                </c:pt>
                <c:pt idx="13">
                  <c:v>13–14</c:v>
                </c:pt>
                <c:pt idx="14">
                  <c:v>14–15</c:v>
                </c:pt>
                <c:pt idx="15">
                  <c:v>15–16</c:v>
                </c:pt>
                <c:pt idx="16">
                  <c:v>16–17</c:v>
                </c:pt>
                <c:pt idx="17">
                  <c:v>17–18</c:v>
                </c:pt>
                <c:pt idx="18">
                  <c:v>18–19</c:v>
                </c:pt>
              </c:strCache>
            </c:strRef>
          </c:cat>
          <c:val>
            <c:numRef>
              <c:f>Verdeling!$D$4:$D$22</c:f>
              <c:numCache>
                <c:formatCode>General</c:formatCode>
                <c:ptCount val="19"/>
                <c:pt idx="0">
                  <c:v>77</c:v>
                </c:pt>
                <c:pt idx="1">
                  <c:v>22</c:v>
                </c:pt>
                <c:pt idx="2">
                  <c:v>55</c:v>
                </c:pt>
                <c:pt idx="3">
                  <c:v>46</c:v>
                </c:pt>
                <c:pt idx="4">
                  <c:v>58</c:v>
                </c:pt>
                <c:pt idx="5">
                  <c:v>48</c:v>
                </c:pt>
                <c:pt idx="6">
                  <c:v>24</c:v>
                </c:pt>
                <c:pt idx="7">
                  <c:v>25</c:v>
                </c:pt>
                <c:pt idx="8">
                  <c:v>14</c:v>
                </c:pt>
                <c:pt idx="9">
                  <c:v>11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gapWidth val="20"/>
        <c:overlap val="0"/>
        <c:axId val="69199275"/>
        <c:axId val="653808"/>
      </c:barChart>
      <c:catAx>
        <c:axId val="69199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808"/>
        <c:crosses val="autoZero"/>
        <c:auto val="1"/>
        <c:lblAlgn val="ctr"/>
        <c:lblOffset val="100"/>
        <c:noMultiLvlLbl val="0"/>
      </c:catAx>
      <c:valAx>
        <c:axId val="653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aantal dagen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992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Ideale accugrootte per seizoen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Verdeling!E3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Verdeling!$C$4:$C$22</c:f>
              <c:strCache>
                <c:ptCount val="19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  <c:pt idx="4">
                  <c:v>4–5</c:v>
                </c:pt>
                <c:pt idx="5">
                  <c:v>5–6</c:v>
                </c:pt>
                <c:pt idx="6">
                  <c:v>6–7</c:v>
                </c:pt>
                <c:pt idx="7">
                  <c:v>7–8</c:v>
                </c:pt>
                <c:pt idx="8">
                  <c:v>8–9</c:v>
                </c:pt>
                <c:pt idx="9">
                  <c:v>9–10</c:v>
                </c:pt>
                <c:pt idx="10">
                  <c:v>10–11</c:v>
                </c:pt>
                <c:pt idx="11">
                  <c:v>11–12</c:v>
                </c:pt>
                <c:pt idx="12">
                  <c:v>12–13</c:v>
                </c:pt>
                <c:pt idx="13">
                  <c:v>13–14</c:v>
                </c:pt>
                <c:pt idx="14">
                  <c:v>14–15</c:v>
                </c:pt>
                <c:pt idx="15">
                  <c:v>15–16</c:v>
                </c:pt>
                <c:pt idx="16">
                  <c:v>16–17</c:v>
                </c:pt>
                <c:pt idx="17">
                  <c:v>17–18</c:v>
                </c:pt>
                <c:pt idx="18">
                  <c:v>18–19</c:v>
                </c:pt>
              </c:strCache>
            </c:strRef>
          </c:cat>
          <c:val>
            <c:numRef>
              <c:f>Verdeling!$E$4:$E$22</c:f>
              <c:numCache>
                <c:formatCode>General</c:formatCode>
                <c:ptCount val="19"/>
                <c:pt idx="0">
                  <c:v>53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Verdeling!F3</c:f>
              <c:strCache>
                <c:ptCount val="1"/>
                <c:pt idx="0">
                  <c:v>Lente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Verdeling!$C$4:$C$22</c:f>
              <c:strCache>
                <c:ptCount val="19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  <c:pt idx="4">
                  <c:v>4–5</c:v>
                </c:pt>
                <c:pt idx="5">
                  <c:v>5–6</c:v>
                </c:pt>
                <c:pt idx="6">
                  <c:v>6–7</c:v>
                </c:pt>
                <c:pt idx="7">
                  <c:v>7–8</c:v>
                </c:pt>
                <c:pt idx="8">
                  <c:v>8–9</c:v>
                </c:pt>
                <c:pt idx="9">
                  <c:v>9–10</c:v>
                </c:pt>
                <c:pt idx="10">
                  <c:v>10–11</c:v>
                </c:pt>
                <c:pt idx="11">
                  <c:v>11–12</c:v>
                </c:pt>
                <c:pt idx="12">
                  <c:v>12–13</c:v>
                </c:pt>
                <c:pt idx="13">
                  <c:v>13–14</c:v>
                </c:pt>
                <c:pt idx="14">
                  <c:v>14–15</c:v>
                </c:pt>
                <c:pt idx="15">
                  <c:v>15–16</c:v>
                </c:pt>
                <c:pt idx="16">
                  <c:v>16–17</c:v>
                </c:pt>
                <c:pt idx="17">
                  <c:v>17–18</c:v>
                </c:pt>
                <c:pt idx="18">
                  <c:v>18–19</c:v>
                </c:pt>
              </c:strCache>
            </c:strRef>
          </c:cat>
          <c:val>
            <c:numRef>
              <c:f>Verdeling!$F$4:$F$22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8</c:v>
                </c:pt>
                <c:pt idx="6">
                  <c:v>13</c:v>
                </c:pt>
                <c:pt idx="7">
                  <c:v>9</c:v>
                </c:pt>
                <c:pt idx="8">
                  <c:v>7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2"/>
          <c:order val="2"/>
          <c:tx>
            <c:strRef>
              <c:f>Verdeling!G3</c:f>
              <c:strCache>
                <c:ptCount val="1"/>
                <c:pt idx="0">
                  <c:v>Zomer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Verdeling!$C$4:$C$22</c:f>
              <c:strCache>
                <c:ptCount val="19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  <c:pt idx="4">
                  <c:v>4–5</c:v>
                </c:pt>
                <c:pt idx="5">
                  <c:v>5–6</c:v>
                </c:pt>
                <c:pt idx="6">
                  <c:v>6–7</c:v>
                </c:pt>
                <c:pt idx="7">
                  <c:v>7–8</c:v>
                </c:pt>
                <c:pt idx="8">
                  <c:v>8–9</c:v>
                </c:pt>
                <c:pt idx="9">
                  <c:v>9–10</c:v>
                </c:pt>
                <c:pt idx="10">
                  <c:v>10–11</c:v>
                </c:pt>
                <c:pt idx="11">
                  <c:v>11–12</c:v>
                </c:pt>
                <c:pt idx="12">
                  <c:v>12–13</c:v>
                </c:pt>
                <c:pt idx="13">
                  <c:v>13–14</c:v>
                </c:pt>
                <c:pt idx="14">
                  <c:v>14–15</c:v>
                </c:pt>
                <c:pt idx="15">
                  <c:v>15–16</c:v>
                </c:pt>
                <c:pt idx="16">
                  <c:v>16–17</c:v>
                </c:pt>
                <c:pt idx="17">
                  <c:v>17–18</c:v>
                </c:pt>
                <c:pt idx="18">
                  <c:v>18–19</c:v>
                </c:pt>
              </c:strCache>
            </c:strRef>
          </c:cat>
          <c:val>
            <c:numRef>
              <c:f>Verdeling!$G$4:$G$22</c:f>
              <c:numCache>
                <c:formatCode>General</c:formatCode>
                <c:ptCount val="19"/>
                <c:pt idx="0">
                  <c:v>5</c:v>
                </c:pt>
                <c:pt idx="1">
                  <c:v>1</c:v>
                </c:pt>
                <c:pt idx="2">
                  <c:v>20</c:v>
                </c:pt>
                <c:pt idx="3">
                  <c:v>11</c:v>
                </c:pt>
                <c:pt idx="4">
                  <c:v>22</c:v>
                </c:pt>
                <c:pt idx="5">
                  <c:v>15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3"/>
          <c:order val="3"/>
          <c:tx>
            <c:strRef>
              <c:f>Verdeling!H3</c:f>
              <c:strCache>
                <c:ptCount val="1"/>
                <c:pt idx="0">
                  <c:v>Herfst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Verdeling!$C$4:$C$22</c:f>
              <c:strCache>
                <c:ptCount val="19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  <c:pt idx="4">
                  <c:v>4–5</c:v>
                </c:pt>
                <c:pt idx="5">
                  <c:v>5–6</c:v>
                </c:pt>
                <c:pt idx="6">
                  <c:v>6–7</c:v>
                </c:pt>
                <c:pt idx="7">
                  <c:v>7–8</c:v>
                </c:pt>
                <c:pt idx="8">
                  <c:v>8–9</c:v>
                </c:pt>
                <c:pt idx="9">
                  <c:v>9–10</c:v>
                </c:pt>
                <c:pt idx="10">
                  <c:v>10–11</c:v>
                </c:pt>
                <c:pt idx="11">
                  <c:v>11–12</c:v>
                </c:pt>
                <c:pt idx="12">
                  <c:v>12–13</c:v>
                </c:pt>
                <c:pt idx="13">
                  <c:v>13–14</c:v>
                </c:pt>
                <c:pt idx="14">
                  <c:v>14–15</c:v>
                </c:pt>
                <c:pt idx="15">
                  <c:v>15–16</c:v>
                </c:pt>
                <c:pt idx="16">
                  <c:v>16–17</c:v>
                </c:pt>
                <c:pt idx="17">
                  <c:v>17–18</c:v>
                </c:pt>
                <c:pt idx="18">
                  <c:v>18–19</c:v>
                </c:pt>
              </c:strCache>
            </c:strRef>
          </c:cat>
          <c:val>
            <c:numRef>
              <c:f>Verdeling!$H$4:$H$22</c:f>
              <c:numCache>
                <c:formatCode>General</c:formatCode>
                <c:ptCount val="19"/>
                <c:pt idx="0">
                  <c:v>18</c:v>
                </c:pt>
                <c:pt idx="1">
                  <c:v>11</c:v>
                </c:pt>
                <c:pt idx="2">
                  <c:v>15</c:v>
                </c:pt>
                <c:pt idx="3">
                  <c:v>12</c:v>
                </c:pt>
                <c:pt idx="4">
                  <c:v>17</c:v>
                </c:pt>
                <c:pt idx="5">
                  <c:v>22</c:v>
                </c:pt>
                <c:pt idx="6">
                  <c:v>8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45249227"/>
        <c:axId val="71252394"/>
      </c:barChart>
      <c:catAx>
        <c:axId val="45249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52394"/>
        <c:crosses val="autoZero"/>
        <c:auto val="1"/>
        <c:lblAlgn val="ctr"/>
        <c:lblOffset val="100"/>
        <c:noMultiLvlLbl val="0"/>
      </c:catAx>
      <c:valAx>
        <c:axId val="71252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aantal dagen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49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19</xdr:col>
      <xdr:colOff>364320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6320880" y="379800"/>
        <a:ext cx="6479280" cy="287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10080</xdr:rowOff>
    </xdr:from>
    <xdr:to>
      <xdr:col>19</xdr:col>
      <xdr:colOff>364320</xdr:colOff>
      <xdr:row>36</xdr:row>
      <xdr:rowOff>10800</xdr:rowOff>
    </xdr:to>
    <xdr:graphicFrame>
      <xdr:nvGraphicFramePr>
        <xdr:cNvPr id="1" name="Chart 2"/>
        <xdr:cNvGraphicFramePr/>
      </xdr:nvGraphicFramePr>
      <xdr:xfrm>
        <a:off x="6320880" y="38008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7" min="7" style="1" width="11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Instellingen!$B$4</f>
        <v>2.5</v>
      </c>
    </row>
    <row r="5" customFormat="false" ht="15" hidden="false" customHeight="true" outlineLevel="0" collapsed="false">
      <c r="A5" s="4" t="s">
        <v>3</v>
      </c>
      <c r="B5" s="6" t="n">
        <f aca="false">Instellingen!B5</f>
        <v>0.9</v>
      </c>
    </row>
    <row r="6" customFormat="false" ht="15" hidden="false" customHeight="true" outlineLevel="0" collapsed="false">
      <c r="A6" s="4" t="s">
        <v>4</v>
      </c>
      <c r="B6" s="7" t="n">
        <f aca="false">MIN(Data!A2:A401)</f>
        <v>45898</v>
      </c>
    </row>
    <row r="7" customFormat="false" ht="15" hidden="false" customHeight="true" outlineLevel="0" collapsed="false">
      <c r="A7" s="4" t="s">
        <v>5</v>
      </c>
      <c r="B7" s="7" t="n">
        <f aca="false">MAX(Data!A2:A401)</f>
        <v>46297</v>
      </c>
    </row>
    <row r="8" customFormat="false" ht="15" hidden="false" customHeight="true" outlineLevel="0" collapsed="false">
      <c r="A8" s="4" t="s">
        <v>6</v>
      </c>
      <c r="B8" s="8" t="n">
        <f aca="false">COUNT(Data!A2:A401)</f>
        <v>400</v>
      </c>
    </row>
    <row r="9" customFormat="false" ht="15" hidden="false" customHeight="true" outlineLevel="0" collapsed="false">
      <c r="A9" s="4" t="s">
        <v>7</v>
      </c>
      <c r="B9" s="9" t="n">
        <f aca="false">SUM(Data!B2:B401)</f>
        <v>4467.31</v>
      </c>
    </row>
    <row r="10" customFormat="false" ht="15" hidden="false" customHeight="true" outlineLevel="0" collapsed="false">
      <c r="A10" s="4" t="s">
        <v>8</v>
      </c>
      <c r="B10" s="9" t="n">
        <f aca="false">SUM(Data!C2:C401)</f>
        <v>5119.6</v>
      </c>
    </row>
    <row r="11" customFormat="false" ht="15" hidden="false" customHeight="true" outlineLevel="0" collapsed="false">
      <c r="A11" s="4" t="s">
        <v>9</v>
      </c>
      <c r="B11" s="9" t="n">
        <f aca="false">SUM(Data!D2:D401)</f>
        <v>3745.3</v>
      </c>
    </row>
    <row r="12" customFormat="false" ht="15" hidden="false" customHeight="true" outlineLevel="0" collapsed="false">
      <c r="A12" s="4" t="s">
        <v>10</v>
      </c>
      <c r="B12" s="10" t="n">
        <f aca="false">IF(B9=0,0,B11/B9)</f>
        <v>0.83837924836199</v>
      </c>
    </row>
    <row r="14" customFormat="false" ht="15" hidden="false" customHeight="true" outlineLevel="0" collapsed="false">
      <c r="A14" s="11" t="s">
        <v>11</v>
      </c>
    </row>
    <row r="15" customFormat="false" ht="30" hidden="false" customHeight="true" outlineLevel="0" collapsed="false">
      <c r="A15" s="12" t="s">
        <v>12</v>
      </c>
      <c r="B15" s="12" t="s">
        <v>13</v>
      </c>
      <c r="C15" s="12" t="s">
        <v>14</v>
      </c>
      <c r="D15" s="12" t="s">
        <v>15</v>
      </c>
      <c r="E15" s="12" t="s">
        <v>16</v>
      </c>
      <c r="F15" s="12" t="s">
        <v>17</v>
      </c>
      <c r="G15" s="12" t="s">
        <v>18</v>
      </c>
      <c r="H15" s="12" t="s">
        <v>19</v>
      </c>
    </row>
    <row r="16" customFormat="false" ht="15" hidden="false" customHeight="true" outlineLevel="0" collapsed="false">
      <c r="A16" s="13" t="s">
        <v>20</v>
      </c>
      <c r="B16" s="14" t="n">
        <f aca="false">COUNT(Data!$K$2:$K$401)</f>
        <v>400</v>
      </c>
      <c r="C16" s="15" t="n">
        <f aca="false">IFERROR(AVERAGE(Data!$K$2:$K$401),0)</f>
        <v>4.18546158466108</v>
      </c>
      <c r="D16" s="15" t="n">
        <f aca="false">IFERROR(MEDIAN(Data!$K$2:$K$401),0)</f>
        <v>3.98868622202572</v>
      </c>
      <c r="E16" s="15" t="n">
        <f aca="false">IFERROR(PERCENTILE(Data!$K$2:$K$401,0.8),0)</f>
        <v>6.53010336824771</v>
      </c>
      <c r="F16" s="15" t="n">
        <f aca="false">IFERROR(PERCENTILE(Data!$K$2:$K$401,0.9),0)</f>
        <v>8.40638811328094</v>
      </c>
      <c r="G16" s="15" t="n">
        <f aca="false">IFERROR(MAX(Data!$K$2:$K$401),0)</f>
        <v>16.2857299498672</v>
      </c>
      <c r="H16" s="15" t="n">
        <f aca="false">MEDIAN(Data!$J$2:$J$401)</f>
        <v>3.895</v>
      </c>
    </row>
    <row r="17" customFormat="false" ht="15" hidden="false" customHeight="true" outlineLevel="0" collapsed="false">
      <c r="A17" s="13" t="s">
        <v>21</v>
      </c>
      <c r="B17" s="14" t="n">
        <f aca="false">COUNT(Data!$L$2:$L$401)</f>
        <v>90</v>
      </c>
      <c r="C17" s="15" t="n">
        <f aca="false">IFERROR(AVERAGE(Data!$L$2:$L$401),0)</f>
        <v>1.51662836581675</v>
      </c>
      <c r="D17" s="15" t="n">
        <f aca="false">IFERROR(MEDIAN(Data!$L$2:$L$401),0)</f>
        <v>0.365243069749448</v>
      </c>
      <c r="E17" s="15" t="n">
        <f aca="false">IFERROR(PERCENTILE(Data!$L$2:$L$401,0.8),0)</f>
        <v>3.29762314402359</v>
      </c>
      <c r="F17" s="15" t="n">
        <f aca="false">IFERROR(PERCENTILE(Data!$L$2:$L$401,0.9),0)</f>
        <v>4.02336586703223</v>
      </c>
      <c r="G17" s="15" t="n">
        <f aca="false">IFERROR(MAX(Data!$L$2:$L$401),0)</f>
        <v>10.1319376231795</v>
      </c>
      <c r="H17" s="15" t="s">
        <v>22</v>
      </c>
    </row>
    <row r="18" customFormat="false" ht="15" hidden="false" customHeight="true" outlineLevel="0" collapsed="false">
      <c r="A18" s="13" t="s">
        <v>23</v>
      </c>
      <c r="B18" s="14" t="n">
        <f aca="false">COUNT(Data!$M$2:$M$401)</f>
        <v>92</v>
      </c>
      <c r="C18" s="15" t="n">
        <f aca="false">IFERROR(AVERAGE(Data!$M$2:$M$401),0)</f>
        <v>6.06302579181863</v>
      </c>
      <c r="D18" s="15" t="n">
        <f aca="false">IFERROR(MEDIAN(Data!$M$2:$M$401),0)</f>
        <v>5.66574747446835</v>
      </c>
      <c r="E18" s="15" t="n">
        <f aca="false">IFERROR(PERCENTILE(Data!$M$2:$M$401,0.8),0)</f>
        <v>8.21981373133101</v>
      </c>
      <c r="F18" s="15" t="n">
        <f aca="false">IFERROR(PERCENTILE(Data!$M$2:$M$401,0.9),0)</f>
        <v>10.424132078979</v>
      </c>
      <c r="G18" s="15" t="n">
        <f aca="false">IFERROR(MAX(Data!$M$2:$M$401),0)</f>
        <v>16.2857299498672</v>
      </c>
      <c r="H18" s="15" t="s">
        <v>22</v>
      </c>
    </row>
    <row r="19" customFormat="false" ht="15" hidden="false" customHeight="true" outlineLevel="0" collapsed="false">
      <c r="A19" s="13" t="s">
        <v>24</v>
      </c>
      <c r="B19" s="14" t="n">
        <f aca="false">COUNT(Data!$N$2:$N$401)</f>
        <v>95</v>
      </c>
      <c r="C19" s="15" t="n">
        <f aca="false">IFERROR(AVERAGE(Data!$N$2:$N$401),0)</f>
        <v>4.71203781929483</v>
      </c>
      <c r="D19" s="15" t="n">
        <f aca="false">IFERROR(MEDIAN(Data!$N$2:$N$401),0)</f>
        <v>4.50097520297299</v>
      </c>
      <c r="E19" s="15" t="n">
        <f aca="false">IFERROR(PERCENTILE(Data!$N$2:$N$401,0.8),0)</f>
        <v>6.40466635439436</v>
      </c>
      <c r="F19" s="15" t="n">
        <f aca="false">IFERROR(PERCENTILE(Data!$N$2:$N$401,0.9),0)</f>
        <v>7.82347493125657</v>
      </c>
      <c r="G19" s="15" t="n">
        <f aca="false">IFERROR(MAX(Data!$N$2:$N$401),0)</f>
        <v>12.902092853487</v>
      </c>
      <c r="H19" s="15" t="s">
        <v>22</v>
      </c>
    </row>
    <row r="20" customFormat="false" ht="15" hidden="false" customHeight="true" outlineLevel="0" collapsed="false">
      <c r="A20" s="13" t="s">
        <v>25</v>
      </c>
      <c r="B20" s="14" t="n">
        <f aca="false">COUNT(Data!$O$2:$O$401)</f>
        <v>123</v>
      </c>
      <c r="C20" s="15" t="n">
        <f aca="false">IFERROR(AVERAGE(Data!$O$2:$O$401),0)</f>
        <v>4.32720418911057</v>
      </c>
      <c r="D20" s="15" t="n">
        <f aca="false">IFERROR(MEDIAN(Data!$O$2:$O$401),0)</f>
        <v>4.300697617829</v>
      </c>
      <c r="E20" s="15" t="n">
        <f aca="false">IFERROR(PERCENTILE(Data!$O$2:$O$401,0.8),0)</f>
        <v>6.37135702970725</v>
      </c>
      <c r="F20" s="15" t="n">
        <f aca="false">IFERROR(PERCENTILE(Data!$O$2:$O$401,0.9),0)</f>
        <v>7.90569415042095</v>
      </c>
      <c r="G20" s="15" t="n">
        <f aca="false">IFERROR(MAX(Data!$O$2:$O$401),0)</f>
        <v>13.6504985663935</v>
      </c>
      <c r="H20" s="15" t="s">
        <v>22</v>
      </c>
    </row>
    <row r="22" customFormat="false" ht="51.75" hidden="false" customHeight="true" outlineLevel="0" collapsed="false">
      <c r="A22" s="16" t="s">
        <v>26</v>
      </c>
      <c r="B22" s="16"/>
      <c r="C22" s="16"/>
      <c r="D22" s="16"/>
      <c r="E22" s="16"/>
      <c r="F22" s="16"/>
      <c r="G22" s="16"/>
      <c r="H22" s="16"/>
    </row>
    <row r="23" customFormat="false" ht="30" hidden="false" customHeight="true" outlineLevel="0" collapsed="false">
      <c r="A23" s="16" t="s">
        <v>27</v>
      </c>
      <c r="B23" s="16"/>
      <c r="C23" s="16"/>
      <c r="D23" s="16"/>
      <c r="E23" s="16"/>
      <c r="F23" s="16"/>
      <c r="G23" s="16"/>
      <c r="H23" s="16"/>
    </row>
    <row r="24" customFormat="false" ht="15" hidden="false" customHeight="true" outlineLevel="0" collapsed="false">
      <c r="A24" s="11" t="s">
        <v>28</v>
      </c>
    </row>
    <row r="25" customFormat="false" ht="30" hidden="false" customHeight="true" outlineLevel="0" collapsed="false">
      <c r="A25" s="12" t="s">
        <v>29</v>
      </c>
      <c r="B25" s="12" t="s">
        <v>30</v>
      </c>
      <c r="C25" s="12" t="s">
        <v>31</v>
      </c>
    </row>
    <row r="26" customFormat="false" ht="15" hidden="false" customHeight="true" outlineLevel="0" collapsed="false">
      <c r="A26" s="17" t="n">
        <v>0</v>
      </c>
      <c r="B26" s="18" t="n">
        <v>0</v>
      </c>
      <c r="C26" s="19" t="s">
        <v>22</v>
      </c>
    </row>
    <row r="27" customFormat="false" ht="15" hidden="false" customHeight="true" outlineLevel="0" collapsed="false">
      <c r="A27" s="17" t="n">
        <v>2</v>
      </c>
      <c r="B27" s="18" t="n">
        <v>566</v>
      </c>
      <c r="C27" s="19" t="n">
        <f aca="false">IFERROR((B27-B26)/(A27-A26),0)</f>
        <v>283</v>
      </c>
    </row>
    <row r="28" customFormat="false" ht="15" hidden="false" customHeight="true" outlineLevel="0" collapsed="false">
      <c r="A28" s="17" t="n">
        <v>4</v>
      </c>
      <c r="B28" s="18" t="n">
        <v>1000</v>
      </c>
      <c r="C28" s="19" t="n">
        <f aca="false">IFERROR((B28-B27)/(A28-A27),0)</f>
        <v>217</v>
      </c>
    </row>
    <row r="29" customFormat="false" ht="15" hidden="false" customHeight="true" outlineLevel="0" collapsed="false">
      <c r="A29" s="17" t="n">
        <v>5</v>
      </c>
      <c r="B29" s="18" t="n">
        <v>1148</v>
      </c>
      <c r="C29" s="19" t="n">
        <f aca="false">IFERROR((B29-B28)/(A29-A28),0)</f>
        <v>148</v>
      </c>
    </row>
    <row r="30" customFormat="false" ht="15" hidden="false" customHeight="true" outlineLevel="0" collapsed="false">
      <c r="A30" s="17" t="n">
        <v>6</v>
      </c>
      <c r="B30" s="18" t="n">
        <v>1251</v>
      </c>
      <c r="C30" s="19" t="n">
        <f aca="false">IFERROR((B30-B29)/(A30-A29),0)</f>
        <v>103</v>
      </c>
    </row>
    <row r="31" customFormat="false" ht="15" hidden="false" customHeight="true" outlineLevel="0" collapsed="false">
      <c r="A31" s="17" t="n">
        <v>8</v>
      </c>
      <c r="B31" s="18" t="n">
        <v>1382</v>
      </c>
      <c r="C31" s="19" t="n">
        <f aca="false">IFERROR((B31-B30)/(A31-A30),0)</f>
        <v>65.5</v>
      </c>
    </row>
    <row r="32" customFormat="false" ht="15" hidden="false" customHeight="true" outlineLevel="0" collapsed="false">
      <c r="A32" s="17" t="n">
        <v>10</v>
      </c>
      <c r="B32" s="18" t="n">
        <v>1452</v>
      </c>
      <c r="C32" s="19" t="n">
        <f aca="false">IFERROR((B32-B31)/(A32-A31),0)</f>
        <v>35</v>
      </c>
    </row>
    <row r="33" customFormat="false" ht="15" hidden="false" customHeight="true" outlineLevel="0" collapsed="false">
      <c r="A33" s="17" t="n">
        <v>12</v>
      </c>
      <c r="B33" s="18" t="n">
        <v>1486</v>
      </c>
      <c r="C33" s="19" t="n">
        <f aca="false">IFERROR((B33-B32)/(A33-A32),0)</f>
        <v>17</v>
      </c>
    </row>
    <row r="34" customFormat="false" ht="15" hidden="false" customHeight="true" outlineLevel="0" collapsed="false">
      <c r="A34" s="17" t="n">
        <v>15</v>
      </c>
      <c r="B34" s="18" t="n">
        <v>1519</v>
      </c>
      <c r="C34" s="19" t="n">
        <f aca="false">IFERROR((B34-B33)/(A34-A33),0)</f>
        <v>11</v>
      </c>
    </row>
    <row r="35" customFormat="false" ht="15" hidden="false" customHeight="true" outlineLevel="0" collapsed="false">
      <c r="A35" s="17" t="n">
        <v>20</v>
      </c>
      <c r="B35" s="18" t="n">
        <v>1551</v>
      </c>
      <c r="C35" s="19" t="n">
        <f aca="false">IFERROR((B35-B34)/(A35-A34),0)</f>
        <v>6.4</v>
      </c>
    </row>
    <row r="37" customFormat="false" ht="15" hidden="false" customHeight="true" outlineLevel="0" collapsed="false">
      <c r="A37" s="3" t="s">
        <v>32</v>
      </c>
    </row>
  </sheetData>
  <mergeCells count="2"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"/>
    <col collapsed="false" customWidth="true" hidden="false" outlineLevel="0" max="3" min="3" style="1" width="50"/>
  </cols>
  <sheetData>
    <row r="1" customFormat="false" ht="17.25" hidden="false" customHeight="true" outlineLevel="0" collapsed="false">
      <c r="A1" s="2" t="s">
        <v>33</v>
      </c>
    </row>
    <row r="2" customFormat="false" ht="15" hidden="false" customHeight="true" outlineLevel="0" collapsed="false">
      <c r="A2" s="3" t="s">
        <v>34</v>
      </c>
    </row>
    <row r="4" customFormat="false" ht="15" hidden="false" customHeight="true" outlineLevel="0" collapsed="false">
      <c r="A4" s="4" t="s">
        <v>2</v>
      </c>
      <c r="B4" s="20" t="n">
        <v>2.5</v>
      </c>
      <c r="C4" s="3" t="s">
        <v>35</v>
      </c>
    </row>
    <row r="5" customFormat="false" ht="15" hidden="false" customHeight="true" outlineLevel="0" collapsed="false">
      <c r="A5" s="4" t="s">
        <v>3</v>
      </c>
      <c r="B5" s="21" t="n">
        <v>0.9</v>
      </c>
      <c r="C5" s="3" t="s">
        <v>36</v>
      </c>
    </row>
    <row r="6" customFormat="false" ht="15" hidden="false" customHeight="true" outlineLevel="0" collapsed="false">
      <c r="A6" s="4" t="s">
        <v>37</v>
      </c>
      <c r="B6" s="20" t="n">
        <v>1</v>
      </c>
      <c r="C6" s="3" t="s">
        <v>38</v>
      </c>
    </row>
    <row r="8" customFormat="false" ht="15" hidden="false" customHeight="true" outlineLevel="0" collapsed="false">
      <c r="A8" s="4" t="s">
        <v>39</v>
      </c>
      <c r="B8" s="22" t="n">
        <f aca="false">SQRT(B5)</f>
        <v>0.948683298050514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4" min="3" style="1" width="13"/>
    <col collapsed="false" customWidth="true" hidden="false" outlineLevel="0" max="5" min="5" style="1" width="9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1" min="10" style="1" width="15"/>
    <col collapsed="false" customWidth="true" hidden="false" outlineLevel="0" max="15" min="12" style="1" width="9"/>
  </cols>
  <sheetData>
    <row r="1" customFormat="false" ht="45" hidden="false" customHeight="true" outlineLevel="0" collapsed="false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  <c r="J1" s="12" t="s">
        <v>49</v>
      </c>
      <c r="K1" s="12" t="s">
        <v>50</v>
      </c>
      <c r="L1" s="12" t="s">
        <v>21</v>
      </c>
      <c r="M1" s="12" t="s">
        <v>23</v>
      </c>
      <c r="N1" s="12" t="s">
        <v>24</v>
      </c>
      <c r="O1" s="12" t="s">
        <v>25</v>
      </c>
    </row>
    <row r="2" customFormat="false" ht="15" hidden="false" customHeight="true" outlineLevel="0" collapsed="false">
      <c r="A2" s="23" t="n">
        <v>45898</v>
      </c>
      <c r="B2" s="24" t="n">
        <v>0.69</v>
      </c>
      <c r="C2" s="24" t="n">
        <v>0</v>
      </c>
      <c r="D2" s="24" t="n">
        <v>0.69</v>
      </c>
      <c r="E2" s="24" t="s">
        <v>24</v>
      </c>
      <c r="F2" s="24" t="n">
        <v>0</v>
      </c>
      <c r="G2" s="25" t="n">
        <v>0</v>
      </c>
      <c r="H2" s="24" t="n">
        <v>0</v>
      </c>
      <c r="I2" s="25" t="n">
        <v>0</v>
      </c>
      <c r="J2" s="24" t="n">
        <v>0</v>
      </c>
      <c r="K2" s="26" t="n">
        <f aca="false">MAX(0,MIN(Instellingen!$B$8*MIN(F2,Instellingen!$B$4*G2),MIN(H2,Instellingen!$B$4*I2)/Instellingen!$B$8))</f>
        <v>0</v>
      </c>
      <c r="L2" s="26" t="str">
        <f aca="false">IF($E2="Winter",$K2,"")</f>
        <v/>
      </c>
      <c r="M2" s="26" t="str">
        <f aca="false">IF($E2="Lente",$K2,"")</f>
        <v/>
      </c>
      <c r="N2" s="26" t="n">
        <f aca="false">IF($E2="Zomer",$K2,"")</f>
        <v>0</v>
      </c>
      <c r="O2" s="26" t="str">
        <f aca="false">IF($E2="Herfst",$K2,"")</f>
        <v/>
      </c>
    </row>
    <row r="3" customFormat="false" ht="15" hidden="false" customHeight="true" outlineLevel="0" collapsed="false">
      <c r="A3" s="23" t="n">
        <v>45899</v>
      </c>
      <c r="B3" s="24" t="n">
        <v>8.99</v>
      </c>
      <c r="C3" s="24" t="n">
        <v>17.75</v>
      </c>
      <c r="D3" s="24" t="n">
        <v>7.53</v>
      </c>
      <c r="E3" s="24" t="s">
        <v>24</v>
      </c>
      <c r="F3" s="24" t="n">
        <v>17.75</v>
      </c>
      <c r="G3" s="25" t="n">
        <v>12</v>
      </c>
      <c r="H3" s="24" t="n">
        <v>8.06</v>
      </c>
      <c r="I3" s="25" t="n">
        <v>14</v>
      </c>
      <c r="J3" s="24" t="n">
        <v>8.41</v>
      </c>
      <c r="K3" s="26" t="n">
        <f aca="false">MAX(0,MIN(Instellingen!$B$8*MIN(F3,Instellingen!$B$4*G3),MIN(H3,Instellingen!$B$4*I3)/Instellingen!$B$8))</f>
        <v>8.49598598031905</v>
      </c>
      <c r="L3" s="26" t="str">
        <f aca="false">IF($E3="Winter",$K3,"")</f>
        <v/>
      </c>
      <c r="M3" s="26" t="str">
        <f aca="false">IF($E3="Lente",$K3,"")</f>
        <v/>
      </c>
      <c r="N3" s="26" t="n">
        <f aca="false">IF($E3="Zomer",$K3,"")</f>
        <v>8.49598598031905</v>
      </c>
      <c r="O3" s="26" t="str">
        <f aca="false">IF($E3="Herfst",$K3,"")</f>
        <v/>
      </c>
    </row>
    <row r="4" customFormat="false" ht="15" hidden="false" customHeight="true" outlineLevel="0" collapsed="false">
      <c r="A4" s="23" t="n">
        <v>45900</v>
      </c>
      <c r="B4" s="24" t="n">
        <v>9.53</v>
      </c>
      <c r="C4" s="24" t="n">
        <v>11.11</v>
      </c>
      <c r="D4" s="24" t="n">
        <v>9.04</v>
      </c>
      <c r="E4" s="24" t="s">
        <v>24</v>
      </c>
      <c r="F4" s="24" t="n">
        <v>11.11</v>
      </c>
      <c r="G4" s="25" t="n">
        <v>9</v>
      </c>
      <c r="H4" s="24" t="n">
        <v>9.63</v>
      </c>
      <c r="I4" s="25" t="n">
        <v>15</v>
      </c>
      <c r="J4" s="24" t="n">
        <v>10.05</v>
      </c>
      <c r="K4" s="26" t="n">
        <f aca="false">MAX(0,MIN(Instellingen!$B$8*MIN(F4,Instellingen!$B$4*G4),MIN(H4,Instellingen!$B$4*I4)/Instellingen!$B$8))</f>
        <v>10.1509112891405</v>
      </c>
      <c r="L4" s="26" t="str">
        <f aca="false">IF($E4="Winter",$K4,"")</f>
        <v/>
      </c>
      <c r="M4" s="26" t="str">
        <f aca="false">IF($E4="Lente",$K4,"")</f>
        <v/>
      </c>
      <c r="N4" s="26" t="n">
        <f aca="false">IF($E4="Zomer",$K4,"")</f>
        <v>10.1509112891405</v>
      </c>
      <c r="O4" s="26" t="str">
        <f aca="false">IF($E4="Herfst",$K4,"")</f>
        <v/>
      </c>
    </row>
    <row r="5" customFormat="false" ht="15" hidden="false" customHeight="true" outlineLevel="0" collapsed="false">
      <c r="A5" s="23" t="n">
        <v>45901</v>
      </c>
      <c r="B5" s="24" t="n">
        <v>6.96</v>
      </c>
      <c r="C5" s="24" t="n">
        <v>15.82</v>
      </c>
      <c r="D5" s="24" t="n">
        <v>4.61</v>
      </c>
      <c r="E5" s="24" t="s">
        <v>25</v>
      </c>
      <c r="F5" s="24" t="n">
        <v>15.82</v>
      </c>
      <c r="G5" s="25" t="n">
        <v>11</v>
      </c>
      <c r="H5" s="24" t="n">
        <v>4.06</v>
      </c>
      <c r="I5" s="25" t="n">
        <v>12</v>
      </c>
      <c r="J5" s="24" t="n">
        <v>4.24</v>
      </c>
      <c r="K5" s="26" t="n">
        <f aca="false">MAX(0,MIN(Instellingen!$B$8*MIN(F5,Instellingen!$B$4*G5),MIN(H5,Instellingen!$B$4*I5)/Instellingen!$B$8))</f>
        <v>4.27961576676121</v>
      </c>
      <c r="L5" s="26" t="str">
        <f aca="false">IF($E5="Winter",$K5,"")</f>
        <v/>
      </c>
      <c r="M5" s="26" t="str">
        <f aca="false">IF($E5="Lente",$K5,"")</f>
        <v/>
      </c>
      <c r="N5" s="26" t="str">
        <f aca="false">IF($E5="Zomer",$K5,"")</f>
        <v/>
      </c>
      <c r="O5" s="26" t="n">
        <f aca="false">IF($E5="Herfst",$K5,"")</f>
        <v>4.27961576676121</v>
      </c>
    </row>
    <row r="6" customFormat="false" ht="15" hidden="false" customHeight="true" outlineLevel="0" collapsed="false">
      <c r="A6" s="23" t="n">
        <v>45902</v>
      </c>
      <c r="B6" s="24" t="n">
        <v>6.63</v>
      </c>
      <c r="C6" s="24" t="n">
        <v>20.18</v>
      </c>
      <c r="D6" s="24" t="n">
        <v>6.16</v>
      </c>
      <c r="E6" s="24" t="s">
        <v>25</v>
      </c>
      <c r="F6" s="24" t="n">
        <v>20.18</v>
      </c>
      <c r="G6" s="25" t="n">
        <v>11</v>
      </c>
      <c r="H6" s="24" t="n">
        <v>5.47</v>
      </c>
      <c r="I6" s="25" t="n">
        <v>12</v>
      </c>
      <c r="J6" s="24" t="n">
        <v>5.71</v>
      </c>
      <c r="K6" s="26" t="n">
        <f aca="false">MAX(0,MIN(Instellingen!$B$8*MIN(F6,Instellingen!$B$4*G6),MIN(H6,Instellingen!$B$4*I6)/Instellingen!$B$8))</f>
        <v>5.76588626704035</v>
      </c>
      <c r="L6" s="26" t="str">
        <f aca="false">IF($E6="Winter",$K6,"")</f>
        <v/>
      </c>
      <c r="M6" s="26" t="str">
        <f aca="false">IF($E6="Lente",$K6,"")</f>
        <v/>
      </c>
      <c r="N6" s="26" t="str">
        <f aca="false">IF($E6="Zomer",$K6,"")</f>
        <v/>
      </c>
      <c r="O6" s="26" t="n">
        <f aca="false">IF($E6="Herfst",$K6,"")</f>
        <v>5.76588626704035</v>
      </c>
    </row>
    <row r="7" customFormat="false" ht="15" hidden="false" customHeight="true" outlineLevel="0" collapsed="false">
      <c r="A7" s="23" t="n">
        <v>45903</v>
      </c>
      <c r="B7" s="24" t="n">
        <v>5.38</v>
      </c>
      <c r="C7" s="24" t="n">
        <v>8.23</v>
      </c>
      <c r="D7" s="24" t="n">
        <v>2.81</v>
      </c>
      <c r="E7" s="24" t="s">
        <v>25</v>
      </c>
      <c r="F7" s="24" t="n">
        <v>8.23</v>
      </c>
      <c r="G7" s="25" t="n">
        <v>13</v>
      </c>
      <c r="H7" s="24" t="n">
        <v>2.8</v>
      </c>
      <c r="I7" s="25" t="n">
        <v>11</v>
      </c>
      <c r="J7" s="24" t="n">
        <v>2.92</v>
      </c>
      <c r="K7" s="26" t="n">
        <f aca="false">MAX(0,MIN(Instellingen!$B$8*MIN(F7,Instellingen!$B$4*G7),MIN(H7,Instellingen!$B$4*I7)/Instellingen!$B$8))</f>
        <v>2.95145914949049</v>
      </c>
      <c r="L7" s="26" t="str">
        <f aca="false">IF($E7="Winter",$K7,"")</f>
        <v/>
      </c>
      <c r="M7" s="26" t="str">
        <f aca="false">IF($E7="Lente",$K7,"")</f>
        <v/>
      </c>
      <c r="N7" s="26" t="str">
        <f aca="false">IF($E7="Zomer",$K7,"")</f>
        <v/>
      </c>
      <c r="O7" s="26" t="n">
        <f aca="false">IF($E7="Herfst",$K7,"")</f>
        <v>2.95145914949049</v>
      </c>
    </row>
    <row r="8" customFormat="false" ht="15" hidden="false" customHeight="true" outlineLevel="0" collapsed="false">
      <c r="A8" s="23" t="n">
        <v>45904</v>
      </c>
      <c r="B8" s="24" t="n">
        <v>4.1</v>
      </c>
      <c r="C8" s="24" t="n">
        <v>19.85</v>
      </c>
      <c r="D8" s="24" t="n">
        <v>3.19</v>
      </c>
      <c r="E8" s="24" t="s">
        <v>25</v>
      </c>
      <c r="F8" s="24" t="n">
        <v>19.85</v>
      </c>
      <c r="G8" s="25" t="n">
        <v>13</v>
      </c>
      <c r="H8" s="24" t="n">
        <v>3.5</v>
      </c>
      <c r="I8" s="25" t="n">
        <v>11</v>
      </c>
      <c r="J8" s="24" t="n">
        <v>3.65</v>
      </c>
      <c r="K8" s="26" t="n">
        <f aca="false">MAX(0,MIN(Instellingen!$B$8*MIN(F8,Instellingen!$B$4*G8),MIN(H8,Instellingen!$B$4*I8)/Instellingen!$B$8))</f>
        <v>3.68932393686311</v>
      </c>
      <c r="L8" s="26" t="str">
        <f aca="false">IF($E8="Winter",$K8,"")</f>
        <v/>
      </c>
      <c r="M8" s="26" t="str">
        <f aca="false">IF($E8="Lente",$K8,"")</f>
        <v/>
      </c>
      <c r="N8" s="26" t="str">
        <f aca="false">IF($E8="Zomer",$K8,"")</f>
        <v/>
      </c>
      <c r="O8" s="26" t="n">
        <f aca="false">IF($E8="Herfst",$K8,"")</f>
        <v>3.68932393686311</v>
      </c>
    </row>
    <row r="9" customFormat="false" ht="15" hidden="false" customHeight="true" outlineLevel="0" collapsed="false">
      <c r="A9" s="23" t="n">
        <v>45905</v>
      </c>
      <c r="B9" s="24" t="n">
        <v>4.53</v>
      </c>
      <c r="C9" s="24" t="n">
        <v>19.73</v>
      </c>
      <c r="D9" s="24" t="n">
        <v>3.81</v>
      </c>
      <c r="E9" s="24" t="s">
        <v>25</v>
      </c>
      <c r="F9" s="24" t="n">
        <v>19.73</v>
      </c>
      <c r="G9" s="25" t="n">
        <v>13</v>
      </c>
      <c r="H9" s="24" t="n">
        <v>3.77</v>
      </c>
      <c r="I9" s="25" t="n">
        <v>11</v>
      </c>
      <c r="J9" s="24" t="n">
        <v>3.94</v>
      </c>
      <c r="K9" s="26" t="n">
        <f aca="false">MAX(0,MIN(Instellingen!$B$8*MIN(F9,Instellingen!$B$4*G9),MIN(H9,Instellingen!$B$4*I9)/Instellingen!$B$8))</f>
        <v>3.97392892627826</v>
      </c>
      <c r="L9" s="26" t="str">
        <f aca="false">IF($E9="Winter",$K9,"")</f>
        <v/>
      </c>
      <c r="M9" s="26" t="str">
        <f aca="false">IF($E9="Lente",$K9,"")</f>
        <v/>
      </c>
      <c r="N9" s="26" t="str">
        <f aca="false">IF($E9="Zomer",$K9,"")</f>
        <v/>
      </c>
      <c r="O9" s="26" t="n">
        <f aca="false">IF($E9="Herfst",$K9,"")</f>
        <v>3.97392892627826</v>
      </c>
    </row>
    <row r="10" customFormat="false" ht="15" hidden="false" customHeight="true" outlineLevel="0" collapsed="false">
      <c r="A10" s="23" t="n">
        <v>45906</v>
      </c>
      <c r="B10" s="24" t="n">
        <v>6.11</v>
      </c>
      <c r="C10" s="24" t="n">
        <v>21.52</v>
      </c>
      <c r="D10" s="24" t="n">
        <v>4.54</v>
      </c>
      <c r="E10" s="24" t="s">
        <v>25</v>
      </c>
      <c r="F10" s="24" t="n">
        <v>21.52</v>
      </c>
      <c r="G10" s="25" t="n">
        <v>12</v>
      </c>
      <c r="H10" s="24" t="n">
        <v>4.08</v>
      </c>
      <c r="I10" s="25" t="n">
        <v>12</v>
      </c>
      <c r="J10" s="24" t="n">
        <v>4.26</v>
      </c>
      <c r="K10" s="26" t="n">
        <f aca="false">MAX(0,MIN(Instellingen!$B$8*MIN(F10,Instellingen!$B$4*G10),MIN(H10,Instellingen!$B$4*I10)/Instellingen!$B$8))</f>
        <v>4.300697617829</v>
      </c>
      <c r="L10" s="26" t="str">
        <f aca="false">IF($E10="Winter",$K10,"")</f>
        <v/>
      </c>
      <c r="M10" s="26" t="str">
        <f aca="false">IF($E10="Lente",$K10,"")</f>
        <v/>
      </c>
      <c r="N10" s="26" t="str">
        <f aca="false">IF($E10="Zomer",$K10,"")</f>
        <v/>
      </c>
      <c r="O10" s="26" t="n">
        <f aca="false">IF($E10="Herfst",$K10,"")</f>
        <v>4.300697617829</v>
      </c>
    </row>
    <row r="11" customFormat="false" ht="15" hidden="false" customHeight="true" outlineLevel="0" collapsed="false">
      <c r="A11" s="23" t="n">
        <v>45907</v>
      </c>
      <c r="B11" s="24" t="n">
        <v>2.49</v>
      </c>
      <c r="C11" s="24" t="n">
        <v>29.56</v>
      </c>
      <c r="D11" s="24" t="n">
        <v>2.09</v>
      </c>
      <c r="E11" s="24" t="s">
        <v>25</v>
      </c>
      <c r="F11" s="24" t="n">
        <v>29.56</v>
      </c>
      <c r="G11" s="25" t="n">
        <v>13</v>
      </c>
      <c r="H11" s="24" t="n">
        <v>2.5</v>
      </c>
      <c r="I11" s="25" t="n">
        <v>12</v>
      </c>
      <c r="J11" s="24" t="n">
        <v>2.61</v>
      </c>
      <c r="K11" s="26" t="n">
        <f aca="false">MAX(0,MIN(Instellingen!$B$8*MIN(F11,Instellingen!$B$4*G11),MIN(H11,Instellingen!$B$4*I11)/Instellingen!$B$8))</f>
        <v>2.63523138347365</v>
      </c>
      <c r="L11" s="26" t="str">
        <f aca="false">IF($E11="Winter",$K11,"")</f>
        <v/>
      </c>
      <c r="M11" s="26" t="str">
        <f aca="false">IF($E11="Lente",$K11,"")</f>
        <v/>
      </c>
      <c r="N11" s="26" t="str">
        <f aca="false">IF($E11="Zomer",$K11,"")</f>
        <v/>
      </c>
      <c r="O11" s="26" t="n">
        <f aca="false">IF($E11="Herfst",$K11,"")</f>
        <v>2.63523138347365</v>
      </c>
    </row>
    <row r="12" customFormat="false" ht="15" hidden="false" customHeight="true" outlineLevel="0" collapsed="false">
      <c r="A12" s="23" t="n">
        <v>45908</v>
      </c>
      <c r="B12" s="24" t="n">
        <v>1.84</v>
      </c>
      <c r="C12" s="24" t="n">
        <v>11.64</v>
      </c>
      <c r="D12" s="24" t="n">
        <v>1.58</v>
      </c>
      <c r="E12" s="24" t="s">
        <v>25</v>
      </c>
      <c r="F12" s="24" t="n">
        <v>11.64</v>
      </c>
      <c r="G12" s="25" t="n">
        <v>7</v>
      </c>
      <c r="H12" s="24" t="n">
        <v>0</v>
      </c>
      <c r="I12" s="25" t="n">
        <v>30</v>
      </c>
      <c r="J12" s="24" t="n">
        <v>0</v>
      </c>
      <c r="K12" s="26" t="n">
        <f aca="false">MAX(0,MIN(Instellingen!$B$8*MIN(F12,Instellingen!$B$4*G12),MIN(H12,Instellingen!$B$4*I12)/Instellingen!$B$8))</f>
        <v>0</v>
      </c>
      <c r="L12" s="26" t="str">
        <f aca="false">IF($E12="Winter",$K12,"")</f>
        <v/>
      </c>
      <c r="M12" s="26" t="str">
        <f aca="false">IF($E12="Lente",$K12,"")</f>
        <v/>
      </c>
      <c r="N12" s="26" t="str">
        <f aca="false">IF($E12="Zomer",$K12,"")</f>
        <v/>
      </c>
      <c r="O12" s="26" t="n">
        <f aca="false">IF($E12="Herfst",$K12,"")</f>
        <v>0</v>
      </c>
    </row>
    <row r="13" customFormat="false" ht="15" hidden="false" customHeight="true" outlineLevel="0" collapsed="false">
      <c r="A13" s="23" t="n">
        <v>45909</v>
      </c>
      <c r="B13" s="24" t="n">
        <v>15.04</v>
      </c>
      <c r="C13" s="24" t="n">
        <v>9.75</v>
      </c>
      <c r="D13" s="24" t="n">
        <v>4.07</v>
      </c>
      <c r="E13" s="24" t="s">
        <v>25</v>
      </c>
      <c r="F13" s="24" t="n">
        <v>9.75</v>
      </c>
      <c r="G13" s="25" t="n">
        <v>1</v>
      </c>
      <c r="H13" s="24" t="n">
        <v>5.58</v>
      </c>
      <c r="I13" s="25" t="n">
        <v>10</v>
      </c>
      <c r="J13" s="24" t="n">
        <v>2.35</v>
      </c>
      <c r="K13" s="26" t="n">
        <f aca="false">MAX(0,MIN(Instellingen!$B$8*MIN(F13,Instellingen!$B$4*G13),MIN(H13,Instellingen!$B$4*I13)/Instellingen!$B$8))</f>
        <v>2.37170824512628</v>
      </c>
      <c r="L13" s="26" t="str">
        <f aca="false">IF($E13="Winter",$K13,"")</f>
        <v/>
      </c>
      <c r="M13" s="26" t="str">
        <f aca="false">IF($E13="Lente",$K13,"")</f>
        <v/>
      </c>
      <c r="N13" s="26" t="str">
        <f aca="false">IF($E13="Zomer",$K13,"")</f>
        <v/>
      </c>
      <c r="O13" s="26" t="n">
        <f aca="false">IF($E13="Herfst",$K13,"")</f>
        <v>2.37170824512628</v>
      </c>
    </row>
    <row r="14" customFormat="false" ht="15" hidden="false" customHeight="true" outlineLevel="0" collapsed="false">
      <c r="A14" s="23" t="n">
        <v>45910</v>
      </c>
      <c r="B14" s="24" t="n">
        <v>5.72</v>
      </c>
      <c r="C14" s="24" t="n">
        <v>23.3</v>
      </c>
      <c r="D14" s="24" t="n">
        <v>4.47</v>
      </c>
      <c r="E14" s="24" t="s">
        <v>25</v>
      </c>
      <c r="F14" s="24" t="n">
        <v>23.31</v>
      </c>
      <c r="G14" s="25" t="n">
        <v>11</v>
      </c>
      <c r="H14" s="24" t="n">
        <v>4.96</v>
      </c>
      <c r="I14" s="25" t="n">
        <v>13</v>
      </c>
      <c r="J14" s="24" t="n">
        <v>5.17</v>
      </c>
      <c r="K14" s="26" t="n">
        <f aca="false">MAX(0,MIN(Instellingen!$B$8*MIN(F14,Instellingen!$B$4*G14),MIN(H14,Instellingen!$B$4*I14)/Instellingen!$B$8))</f>
        <v>5.22829906481172</v>
      </c>
      <c r="L14" s="26" t="str">
        <f aca="false">IF($E14="Winter",$K14,"")</f>
        <v/>
      </c>
      <c r="M14" s="26" t="str">
        <f aca="false">IF($E14="Lente",$K14,"")</f>
        <v/>
      </c>
      <c r="N14" s="26" t="str">
        <f aca="false">IF($E14="Zomer",$K14,"")</f>
        <v/>
      </c>
      <c r="O14" s="26" t="n">
        <f aca="false">IF($E14="Herfst",$K14,"")</f>
        <v>5.22829906481172</v>
      </c>
    </row>
    <row r="15" customFormat="false" ht="15" hidden="false" customHeight="true" outlineLevel="0" collapsed="false">
      <c r="A15" s="23" t="n">
        <v>45911</v>
      </c>
      <c r="B15" s="24" t="n">
        <v>7.59</v>
      </c>
      <c r="C15" s="24" t="n">
        <v>15.7</v>
      </c>
      <c r="D15" s="24" t="n">
        <v>4.95</v>
      </c>
      <c r="E15" s="24" t="s">
        <v>25</v>
      </c>
      <c r="F15" s="24" t="n">
        <v>15.69</v>
      </c>
      <c r="G15" s="25" t="n">
        <v>12</v>
      </c>
      <c r="H15" s="24" t="n">
        <v>4.03</v>
      </c>
      <c r="I15" s="25" t="n">
        <v>11</v>
      </c>
      <c r="J15" s="24" t="n">
        <v>4.2</v>
      </c>
      <c r="K15" s="26" t="n">
        <f aca="false">MAX(0,MIN(Instellingen!$B$8*MIN(F15,Instellingen!$B$4*G15),MIN(H15,Instellingen!$B$4*I15)/Instellingen!$B$8))</f>
        <v>4.24799299015952</v>
      </c>
      <c r="L15" s="26" t="str">
        <f aca="false">IF($E15="Winter",$K15,"")</f>
        <v/>
      </c>
      <c r="M15" s="26" t="str">
        <f aca="false">IF($E15="Lente",$K15,"")</f>
        <v/>
      </c>
      <c r="N15" s="26" t="str">
        <f aca="false">IF($E15="Zomer",$K15,"")</f>
        <v/>
      </c>
      <c r="O15" s="26" t="n">
        <f aca="false">IF($E15="Herfst",$K15,"")</f>
        <v>4.24799299015952</v>
      </c>
    </row>
    <row r="16" customFormat="false" ht="15" hidden="false" customHeight="true" outlineLevel="0" collapsed="false">
      <c r="A16" s="23" t="n">
        <v>45912</v>
      </c>
      <c r="B16" s="24" t="n">
        <v>5.66</v>
      </c>
      <c r="C16" s="24" t="n">
        <v>20.06</v>
      </c>
      <c r="D16" s="24" t="n">
        <v>4.23</v>
      </c>
      <c r="E16" s="24" t="s">
        <v>25</v>
      </c>
      <c r="F16" s="24" t="n">
        <v>20.06</v>
      </c>
      <c r="G16" s="25" t="n">
        <v>12</v>
      </c>
      <c r="H16" s="24" t="n">
        <v>4.34</v>
      </c>
      <c r="I16" s="25" t="n">
        <v>13</v>
      </c>
      <c r="J16" s="24" t="n">
        <v>4.53</v>
      </c>
      <c r="K16" s="26" t="n">
        <f aca="false">MAX(0,MIN(Instellingen!$B$8*MIN(F16,Instellingen!$B$4*G16),MIN(H16,Instellingen!$B$4*I16)/Instellingen!$B$8))</f>
        <v>4.57476168171026</v>
      </c>
      <c r="L16" s="26" t="str">
        <f aca="false">IF($E16="Winter",$K16,"")</f>
        <v/>
      </c>
      <c r="M16" s="26" t="str">
        <f aca="false">IF($E16="Lente",$K16,"")</f>
        <v/>
      </c>
      <c r="N16" s="26" t="str">
        <f aca="false">IF($E16="Zomer",$K16,"")</f>
        <v/>
      </c>
      <c r="O16" s="26" t="n">
        <f aca="false">IF($E16="Herfst",$K16,"")</f>
        <v>4.57476168171026</v>
      </c>
    </row>
    <row r="17" customFormat="false" ht="15" hidden="false" customHeight="true" outlineLevel="0" collapsed="false">
      <c r="A17" s="23" t="n">
        <v>45913</v>
      </c>
      <c r="B17" s="24" t="n">
        <v>5.92</v>
      </c>
      <c r="C17" s="24" t="n">
        <v>10.3</v>
      </c>
      <c r="D17" s="24" t="n">
        <v>4.38</v>
      </c>
      <c r="E17" s="24" t="s">
        <v>25</v>
      </c>
      <c r="F17" s="24" t="n">
        <v>10.3</v>
      </c>
      <c r="G17" s="25" t="n">
        <v>11</v>
      </c>
      <c r="H17" s="24" t="n">
        <v>7.94</v>
      </c>
      <c r="I17" s="25" t="n">
        <v>13</v>
      </c>
      <c r="J17" s="24" t="n">
        <v>7.88</v>
      </c>
      <c r="K17" s="26" t="n">
        <f aca="false">MAX(0,MIN(Instellingen!$B$8*MIN(F17,Instellingen!$B$4*G17),MIN(H17,Instellingen!$B$4*I17)/Instellingen!$B$8))</f>
        <v>8.36949487391231</v>
      </c>
      <c r="L17" s="26" t="str">
        <f aca="false">IF($E17="Winter",$K17,"")</f>
        <v/>
      </c>
      <c r="M17" s="26" t="str">
        <f aca="false">IF($E17="Lente",$K17,"")</f>
        <v/>
      </c>
      <c r="N17" s="26" t="str">
        <f aca="false">IF($E17="Zomer",$K17,"")</f>
        <v/>
      </c>
      <c r="O17" s="26" t="n">
        <f aca="false">IF($E17="Herfst",$K17,"")</f>
        <v>8.36949487391231</v>
      </c>
    </row>
    <row r="18" customFormat="false" ht="15" hidden="false" customHeight="true" outlineLevel="0" collapsed="false">
      <c r="A18" s="23" t="n">
        <v>45914</v>
      </c>
      <c r="B18" s="24" t="n">
        <v>11.46</v>
      </c>
      <c r="C18" s="24" t="n">
        <v>17.4</v>
      </c>
      <c r="D18" s="24" t="n">
        <v>10.26</v>
      </c>
      <c r="E18" s="24" t="s">
        <v>25</v>
      </c>
      <c r="F18" s="24" t="n">
        <v>17.4</v>
      </c>
      <c r="G18" s="25" t="n">
        <v>10</v>
      </c>
      <c r="H18" s="24" t="n">
        <v>6.58</v>
      </c>
      <c r="I18" s="25" t="n">
        <v>13</v>
      </c>
      <c r="J18" s="24" t="n">
        <v>6.87</v>
      </c>
      <c r="K18" s="26" t="n">
        <f aca="false">MAX(0,MIN(Instellingen!$B$8*MIN(F18,Instellingen!$B$4*G18),MIN(H18,Instellingen!$B$4*I18)/Instellingen!$B$8))</f>
        <v>6.93592900130265</v>
      </c>
      <c r="L18" s="26" t="str">
        <f aca="false">IF($E18="Winter",$K18,"")</f>
        <v/>
      </c>
      <c r="M18" s="26" t="str">
        <f aca="false">IF($E18="Lente",$K18,"")</f>
        <v/>
      </c>
      <c r="N18" s="26" t="str">
        <f aca="false">IF($E18="Zomer",$K18,"")</f>
        <v/>
      </c>
      <c r="O18" s="26" t="n">
        <f aca="false">IF($E18="Herfst",$K18,"")</f>
        <v>6.93592900130265</v>
      </c>
    </row>
    <row r="19" customFormat="false" ht="15" hidden="false" customHeight="true" outlineLevel="0" collapsed="false">
      <c r="A19" s="23" t="n">
        <v>45915</v>
      </c>
      <c r="B19" s="24" t="n">
        <v>3.89</v>
      </c>
      <c r="C19" s="24" t="n">
        <v>21.73</v>
      </c>
      <c r="D19" s="24" t="n">
        <v>3.5</v>
      </c>
      <c r="E19" s="24" t="s">
        <v>25</v>
      </c>
      <c r="F19" s="24" t="n">
        <v>21.73</v>
      </c>
      <c r="G19" s="25" t="n">
        <v>12</v>
      </c>
      <c r="H19" s="24" t="n">
        <v>4.43</v>
      </c>
      <c r="I19" s="25" t="n">
        <v>13</v>
      </c>
      <c r="J19" s="24" t="n">
        <v>4.62</v>
      </c>
      <c r="K19" s="26" t="n">
        <f aca="false">MAX(0,MIN(Instellingen!$B$8*MIN(F19,Instellingen!$B$4*G19),MIN(H19,Instellingen!$B$4*I19)/Instellingen!$B$8))</f>
        <v>4.66963001151531</v>
      </c>
      <c r="L19" s="26" t="str">
        <f aca="false">IF($E19="Winter",$K19,"")</f>
        <v/>
      </c>
      <c r="M19" s="26" t="str">
        <f aca="false">IF($E19="Lente",$K19,"")</f>
        <v/>
      </c>
      <c r="N19" s="26" t="str">
        <f aca="false">IF($E19="Zomer",$K19,"")</f>
        <v/>
      </c>
      <c r="O19" s="26" t="n">
        <f aca="false">IF($E19="Herfst",$K19,"")</f>
        <v>4.66963001151531</v>
      </c>
    </row>
    <row r="20" customFormat="false" ht="15" hidden="false" customHeight="true" outlineLevel="0" collapsed="false">
      <c r="A20" s="23" t="n">
        <v>45916</v>
      </c>
      <c r="B20" s="24" t="n">
        <v>6.99</v>
      </c>
      <c r="C20" s="24" t="n">
        <v>13.85</v>
      </c>
      <c r="D20" s="24" t="n">
        <v>5.43</v>
      </c>
      <c r="E20" s="24" t="s">
        <v>25</v>
      </c>
      <c r="F20" s="24" t="n">
        <v>13.85</v>
      </c>
      <c r="G20" s="25" t="n">
        <v>12</v>
      </c>
      <c r="H20" s="24" t="n">
        <v>5.51</v>
      </c>
      <c r="I20" s="25" t="n">
        <v>12</v>
      </c>
      <c r="J20" s="24" t="n">
        <v>5.75</v>
      </c>
      <c r="K20" s="26" t="n">
        <f aca="false">MAX(0,MIN(Instellingen!$B$8*MIN(F20,Instellingen!$B$4*G20),MIN(H20,Instellingen!$B$4*I20)/Instellingen!$B$8))</f>
        <v>5.80804996917592</v>
      </c>
      <c r="L20" s="26" t="str">
        <f aca="false">IF($E20="Winter",$K20,"")</f>
        <v/>
      </c>
      <c r="M20" s="26" t="str">
        <f aca="false">IF($E20="Lente",$K20,"")</f>
        <v/>
      </c>
      <c r="N20" s="26" t="str">
        <f aca="false">IF($E20="Zomer",$K20,"")</f>
        <v/>
      </c>
      <c r="O20" s="26" t="n">
        <f aca="false">IF($E20="Herfst",$K20,"")</f>
        <v>5.80804996917592</v>
      </c>
    </row>
    <row r="21" customFormat="false" ht="15" hidden="false" customHeight="true" outlineLevel="0" collapsed="false">
      <c r="A21" s="23" t="n">
        <v>45917</v>
      </c>
      <c r="B21" s="24" t="n">
        <v>8.7</v>
      </c>
      <c r="C21" s="24" t="n">
        <v>1.94</v>
      </c>
      <c r="D21" s="24" t="n">
        <v>5.05</v>
      </c>
      <c r="E21" s="24" t="s">
        <v>25</v>
      </c>
      <c r="F21" s="24" t="n">
        <v>1.94</v>
      </c>
      <c r="G21" s="25" t="n">
        <v>9</v>
      </c>
      <c r="H21" s="24" t="n">
        <v>5.49</v>
      </c>
      <c r="I21" s="25" t="n">
        <v>17</v>
      </c>
      <c r="J21" s="24" t="n">
        <v>1.78</v>
      </c>
      <c r="K21" s="26" t="n">
        <f aca="false">MAX(0,MIN(Instellingen!$B$8*MIN(F21,Instellingen!$B$4*G21),MIN(H21,Instellingen!$B$4*I21)/Instellingen!$B$8))</f>
        <v>1.840445598218</v>
      </c>
      <c r="L21" s="26" t="str">
        <f aca="false">IF($E21="Winter",$K21,"")</f>
        <v/>
      </c>
      <c r="M21" s="26" t="str">
        <f aca="false">IF($E21="Lente",$K21,"")</f>
        <v/>
      </c>
      <c r="N21" s="26" t="str">
        <f aca="false">IF($E21="Zomer",$K21,"")</f>
        <v/>
      </c>
      <c r="O21" s="26" t="n">
        <f aca="false">IF($E21="Herfst",$K21,"")</f>
        <v>1.840445598218</v>
      </c>
    </row>
    <row r="22" customFormat="false" ht="15" hidden="false" customHeight="true" outlineLevel="0" collapsed="false">
      <c r="A22" s="23" t="n">
        <v>45918</v>
      </c>
      <c r="B22" s="24" t="n">
        <v>6.32</v>
      </c>
      <c r="C22" s="24" t="n">
        <v>2.09</v>
      </c>
      <c r="D22" s="24" t="n">
        <v>4.85</v>
      </c>
      <c r="E22" s="24" t="s">
        <v>25</v>
      </c>
      <c r="F22" s="24" t="n">
        <v>2.09</v>
      </c>
      <c r="G22" s="25" t="n">
        <v>9</v>
      </c>
      <c r="H22" s="24" t="n">
        <v>3.4</v>
      </c>
      <c r="I22" s="25" t="n">
        <v>12</v>
      </c>
      <c r="J22" s="24" t="n">
        <v>1.97</v>
      </c>
      <c r="K22" s="26" t="n">
        <f aca="false">MAX(0,MIN(Instellingen!$B$8*MIN(F22,Instellingen!$B$4*G22),MIN(H22,Instellingen!$B$4*I22)/Instellingen!$B$8))</f>
        <v>1.98274809292557</v>
      </c>
      <c r="L22" s="26" t="str">
        <f aca="false">IF($E22="Winter",$K22,"")</f>
        <v/>
      </c>
      <c r="M22" s="26" t="str">
        <f aca="false">IF($E22="Lente",$K22,"")</f>
        <v/>
      </c>
      <c r="N22" s="26" t="str">
        <f aca="false">IF($E22="Zomer",$K22,"")</f>
        <v/>
      </c>
      <c r="O22" s="26" t="n">
        <f aca="false">IF($E22="Herfst",$K22,"")</f>
        <v>1.98274809292557</v>
      </c>
    </row>
    <row r="23" customFormat="false" ht="15" hidden="false" customHeight="true" outlineLevel="0" collapsed="false">
      <c r="A23" s="23" t="n">
        <v>45919</v>
      </c>
      <c r="B23" s="24" t="n">
        <v>4.39</v>
      </c>
      <c r="C23" s="24" t="n">
        <v>22.32</v>
      </c>
      <c r="D23" s="24" t="n">
        <v>3.84</v>
      </c>
      <c r="E23" s="24" t="s">
        <v>25</v>
      </c>
      <c r="F23" s="24" t="n">
        <v>22.32</v>
      </c>
      <c r="G23" s="25" t="n">
        <v>12</v>
      </c>
      <c r="H23" s="24" t="n">
        <v>4.19</v>
      </c>
      <c r="I23" s="25" t="n">
        <v>13</v>
      </c>
      <c r="J23" s="24" t="n">
        <v>4.37</v>
      </c>
      <c r="K23" s="26" t="n">
        <f aca="false">MAX(0,MIN(Instellingen!$B$8*MIN(F23,Instellingen!$B$4*G23),MIN(H23,Instellingen!$B$4*I23)/Instellingen!$B$8))</f>
        <v>4.41664779870184</v>
      </c>
      <c r="L23" s="26" t="str">
        <f aca="false">IF($E23="Winter",$K23,"")</f>
        <v/>
      </c>
      <c r="M23" s="26" t="str">
        <f aca="false">IF($E23="Lente",$K23,"")</f>
        <v/>
      </c>
      <c r="N23" s="26" t="str">
        <f aca="false">IF($E23="Zomer",$K23,"")</f>
        <v/>
      </c>
      <c r="O23" s="26" t="n">
        <f aca="false">IF($E23="Herfst",$K23,"")</f>
        <v>4.41664779870184</v>
      </c>
    </row>
    <row r="24" customFormat="false" ht="15" hidden="false" customHeight="true" outlineLevel="0" collapsed="false">
      <c r="A24" s="23" t="n">
        <v>45920</v>
      </c>
      <c r="B24" s="24" t="n">
        <v>10.88</v>
      </c>
      <c r="C24" s="24" t="n">
        <v>2.69</v>
      </c>
      <c r="D24" s="24" t="n">
        <v>5.59</v>
      </c>
      <c r="E24" s="24" t="s">
        <v>25</v>
      </c>
      <c r="F24" s="24" t="n">
        <v>2.7</v>
      </c>
      <c r="G24" s="25" t="n">
        <v>8</v>
      </c>
      <c r="H24" s="24" t="n">
        <v>7.28</v>
      </c>
      <c r="I24" s="25" t="n">
        <v>18</v>
      </c>
      <c r="J24" s="24" t="n">
        <v>1.35</v>
      </c>
      <c r="K24" s="26" t="n">
        <f aca="false">MAX(0,MIN(Instellingen!$B$8*MIN(F24,Instellingen!$B$4*G24),MIN(H24,Instellingen!$B$4*I24)/Instellingen!$B$8))</f>
        <v>2.56144490473639</v>
      </c>
      <c r="L24" s="26" t="str">
        <f aca="false">IF($E24="Winter",$K24,"")</f>
        <v/>
      </c>
      <c r="M24" s="26" t="str">
        <f aca="false">IF($E24="Lente",$K24,"")</f>
        <v/>
      </c>
      <c r="N24" s="26" t="str">
        <f aca="false">IF($E24="Zomer",$K24,"")</f>
        <v/>
      </c>
      <c r="O24" s="26" t="n">
        <f aca="false">IF($E24="Herfst",$K24,"")</f>
        <v>2.56144490473639</v>
      </c>
    </row>
    <row r="25" customFormat="false" ht="15" hidden="false" customHeight="true" outlineLevel="0" collapsed="false">
      <c r="A25" s="23" t="n">
        <v>45921</v>
      </c>
      <c r="B25" s="24" t="n">
        <v>11.25</v>
      </c>
      <c r="C25" s="24" t="n">
        <v>8.01</v>
      </c>
      <c r="D25" s="24" t="n">
        <v>4.67</v>
      </c>
      <c r="E25" s="24" t="s">
        <v>25</v>
      </c>
      <c r="F25" s="24" t="n">
        <v>8</v>
      </c>
      <c r="G25" s="25" t="n">
        <v>10</v>
      </c>
      <c r="H25" s="24" t="n">
        <v>3.16</v>
      </c>
      <c r="I25" s="25" t="n">
        <v>12</v>
      </c>
      <c r="J25" s="24" t="n">
        <v>3.3</v>
      </c>
      <c r="K25" s="26" t="n">
        <f aca="false">MAX(0,MIN(Instellingen!$B$8*MIN(F25,Instellingen!$B$4*G25),MIN(H25,Instellingen!$B$4*I25)/Instellingen!$B$8))</f>
        <v>3.33093246871069</v>
      </c>
      <c r="L25" s="26" t="str">
        <f aca="false">IF($E25="Winter",$K25,"")</f>
        <v/>
      </c>
      <c r="M25" s="26" t="str">
        <f aca="false">IF($E25="Lente",$K25,"")</f>
        <v/>
      </c>
      <c r="N25" s="26" t="str">
        <f aca="false">IF($E25="Zomer",$K25,"")</f>
        <v/>
      </c>
      <c r="O25" s="26" t="n">
        <f aca="false">IF($E25="Herfst",$K25,"")</f>
        <v>3.33093246871069</v>
      </c>
    </row>
    <row r="26" customFormat="false" ht="15" hidden="false" customHeight="true" outlineLevel="0" collapsed="false">
      <c r="A26" s="23" t="n">
        <v>45922</v>
      </c>
      <c r="B26" s="24" t="n">
        <v>6.69</v>
      </c>
      <c r="C26" s="24" t="n">
        <v>17.49</v>
      </c>
      <c r="D26" s="24" t="n">
        <v>4.89</v>
      </c>
      <c r="E26" s="24" t="s">
        <v>25</v>
      </c>
      <c r="F26" s="24" t="n">
        <v>17.49</v>
      </c>
      <c r="G26" s="25" t="n">
        <v>11</v>
      </c>
      <c r="H26" s="24" t="n">
        <v>4.73</v>
      </c>
      <c r="I26" s="25" t="n">
        <v>13</v>
      </c>
      <c r="J26" s="24" t="n">
        <v>4.93</v>
      </c>
      <c r="K26" s="26" t="n">
        <f aca="false">MAX(0,MIN(Instellingen!$B$8*MIN(F26,Instellingen!$B$4*G26),MIN(H26,Instellingen!$B$4*I26)/Instellingen!$B$8))</f>
        <v>4.98585777753215</v>
      </c>
      <c r="L26" s="26" t="str">
        <f aca="false">IF($E26="Winter",$K26,"")</f>
        <v/>
      </c>
      <c r="M26" s="26" t="str">
        <f aca="false">IF($E26="Lente",$K26,"")</f>
        <v/>
      </c>
      <c r="N26" s="26" t="str">
        <f aca="false">IF($E26="Zomer",$K26,"")</f>
        <v/>
      </c>
      <c r="O26" s="26" t="n">
        <f aca="false">IF($E26="Herfst",$K26,"")</f>
        <v>4.98585777753215</v>
      </c>
    </row>
    <row r="27" customFormat="false" ht="15" hidden="false" customHeight="true" outlineLevel="0" collapsed="false">
      <c r="A27" s="23" t="n">
        <v>45923</v>
      </c>
      <c r="B27" s="24" t="n">
        <v>12.93</v>
      </c>
      <c r="C27" s="24" t="n">
        <v>17.3</v>
      </c>
      <c r="D27" s="24" t="n">
        <v>10.62</v>
      </c>
      <c r="E27" s="24" t="s">
        <v>25</v>
      </c>
      <c r="F27" s="24" t="n">
        <v>17.3</v>
      </c>
      <c r="G27" s="25" t="n">
        <v>12</v>
      </c>
      <c r="H27" s="24" t="n">
        <v>10.72</v>
      </c>
      <c r="I27" s="25" t="n">
        <v>12</v>
      </c>
      <c r="J27" s="24" t="n">
        <v>7.69</v>
      </c>
      <c r="K27" s="26" t="n">
        <f aca="false">MAX(0,MIN(Instellingen!$B$8*MIN(F27,Instellingen!$B$4*G27),MIN(H27,Instellingen!$B$4*I27)/Instellingen!$B$8))</f>
        <v>11.299872172335</v>
      </c>
      <c r="L27" s="26" t="str">
        <f aca="false">IF($E27="Winter",$K27,"")</f>
        <v/>
      </c>
      <c r="M27" s="26" t="str">
        <f aca="false">IF($E27="Lente",$K27,"")</f>
        <v/>
      </c>
      <c r="N27" s="26" t="str">
        <f aca="false">IF($E27="Zomer",$K27,"")</f>
        <v/>
      </c>
      <c r="O27" s="26" t="n">
        <f aca="false">IF($E27="Herfst",$K27,"")</f>
        <v>11.299872172335</v>
      </c>
    </row>
    <row r="28" customFormat="false" ht="15" hidden="false" customHeight="true" outlineLevel="0" collapsed="false">
      <c r="A28" s="23" t="n">
        <v>45924</v>
      </c>
      <c r="B28" s="24" t="n">
        <v>5.15</v>
      </c>
      <c r="C28" s="24" t="n">
        <v>21.11</v>
      </c>
      <c r="D28" s="24" t="n">
        <v>5.08</v>
      </c>
      <c r="E28" s="24" t="s">
        <v>25</v>
      </c>
      <c r="F28" s="24" t="n">
        <v>21.11</v>
      </c>
      <c r="G28" s="25" t="n">
        <v>11</v>
      </c>
      <c r="H28" s="24" t="n">
        <v>5.2</v>
      </c>
      <c r="I28" s="25" t="n">
        <v>13</v>
      </c>
      <c r="J28" s="24" t="n">
        <v>5.43</v>
      </c>
      <c r="K28" s="26" t="n">
        <f aca="false">MAX(0,MIN(Instellingen!$B$8*MIN(F28,Instellingen!$B$4*G28),MIN(H28,Instellingen!$B$4*I28)/Instellingen!$B$8))</f>
        <v>5.48128127762519</v>
      </c>
      <c r="L28" s="26" t="str">
        <f aca="false">IF($E28="Winter",$K28,"")</f>
        <v/>
      </c>
      <c r="M28" s="26" t="str">
        <f aca="false">IF($E28="Lente",$K28,"")</f>
        <v/>
      </c>
      <c r="N28" s="26" t="str">
        <f aca="false">IF($E28="Zomer",$K28,"")</f>
        <v/>
      </c>
      <c r="O28" s="26" t="n">
        <f aca="false">IF($E28="Herfst",$K28,"")</f>
        <v>5.48128127762519</v>
      </c>
    </row>
    <row r="29" customFormat="false" ht="15" hidden="false" customHeight="true" outlineLevel="0" collapsed="false">
      <c r="A29" s="23" t="n">
        <v>45925</v>
      </c>
      <c r="B29" s="24" t="n">
        <v>8.78</v>
      </c>
      <c r="C29" s="24" t="n">
        <v>16.51</v>
      </c>
      <c r="D29" s="24" t="n">
        <v>7.64</v>
      </c>
      <c r="E29" s="24" t="s">
        <v>25</v>
      </c>
      <c r="F29" s="24" t="n">
        <v>16.51</v>
      </c>
      <c r="G29" s="25" t="n">
        <v>10</v>
      </c>
      <c r="H29" s="24" t="n">
        <v>8.02</v>
      </c>
      <c r="I29" s="25" t="n">
        <v>15</v>
      </c>
      <c r="J29" s="24" t="n">
        <v>8.36</v>
      </c>
      <c r="K29" s="26" t="n">
        <f aca="false">MAX(0,MIN(Instellingen!$B$8*MIN(F29,Instellingen!$B$4*G29),MIN(H29,Instellingen!$B$4*I29)/Instellingen!$B$8))</f>
        <v>8.45382227818347</v>
      </c>
      <c r="L29" s="26" t="str">
        <f aca="false">IF($E29="Winter",$K29,"")</f>
        <v/>
      </c>
      <c r="M29" s="26" t="str">
        <f aca="false">IF($E29="Lente",$K29,"")</f>
        <v/>
      </c>
      <c r="N29" s="26" t="str">
        <f aca="false">IF($E29="Zomer",$K29,"")</f>
        <v/>
      </c>
      <c r="O29" s="26" t="n">
        <f aca="false">IF($E29="Herfst",$K29,"")</f>
        <v>8.45382227818347</v>
      </c>
    </row>
    <row r="30" customFormat="false" ht="15" hidden="false" customHeight="true" outlineLevel="0" collapsed="false">
      <c r="A30" s="23" t="n">
        <v>45926</v>
      </c>
      <c r="B30" s="24" t="n">
        <v>7.59</v>
      </c>
      <c r="C30" s="24" t="n">
        <v>7.84</v>
      </c>
      <c r="D30" s="24" t="n">
        <v>6</v>
      </c>
      <c r="E30" s="24" t="s">
        <v>25</v>
      </c>
      <c r="F30" s="24" t="n">
        <v>7.84</v>
      </c>
      <c r="G30" s="25" t="n">
        <v>10</v>
      </c>
      <c r="H30" s="24" t="n">
        <v>5.25</v>
      </c>
      <c r="I30" s="25" t="n">
        <v>13</v>
      </c>
      <c r="J30" s="24" t="n">
        <v>5.48</v>
      </c>
      <c r="K30" s="26" t="n">
        <f aca="false">MAX(0,MIN(Instellingen!$B$8*MIN(F30,Instellingen!$B$4*G30),MIN(H30,Instellingen!$B$4*I30)/Instellingen!$B$8))</f>
        <v>5.53398590529466</v>
      </c>
      <c r="L30" s="26" t="str">
        <f aca="false">IF($E30="Winter",$K30,"")</f>
        <v/>
      </c>
      <c r="M30" s="26" t="str">
        <f aca="false">IF($E30="Lente",$K30,"")</f>
        <v/>
      </c>
      <c r="N30" s="26" t="str">
        <f aca="false">IF($E30="Zomer",$K30,"")</f>
        <v/>
      </c>
      <c r="O30" s="26" t="n">
        <f aca="false">IF($E30="Herfst",$K30,"")</f>
        <v>5.53398590529466</v>
      </c>
    </row>
    <row r="31" customFormat="false" ht="15" hidden="false" customHeight="true" outlineLevel="0" collapsed="false">
      <c r="A31" s="23" t="n">
        <v>45927</v>
      </c>
      <c r="B31" s="24" t="n">
        <v>5.49</v>
      </c>
      <c r="C31" s="24" t="n">
        <v>6.03</v>
      </c>
      <c r="D31" s="24" t="n">
        <v>4.09</v>
      </c>
      <c r="E31" s="24" t="s">
        <v>25</v>
      </c>
      <c r="F31" s="24" t="n">
        <v>6.03</v>
      </c>
      <c r="G31" s="25" t="n">
        <v>10</v>
      </c>
      <c r="H31" s="24" t="n">
        <v>4.03</v>
      </c>
      <c r="I31" s="25" t="n">
        <v>14</v>
      </c>
      <c r="J31" s="24" t="n">
        <v>4.21</v>
      </c>
      <c r="K31" s="26" t="n">
        <f aca="false">MAX(0,MIN(Instellingen!$B$8*MIN(F31,Instellingen!$B$4*G31),MIN(H31,Instellingen!$B$4*I31)/Instellingen!$B$8))</f>
        <v>4.24799299015952</v>
      </c>
      <c r="L31" s="26" t="str">
        <f aca="false">IF($E31="Winter",$K31,"")</f>
        <v/>
      </c>
      <c r="M31" s="26" t="str">
        <f aca="false">IF($E31="Lente",$K31,"")</f>
        <v/>
      </c>
      <c r="N31" s="26" t="str">
        <f aca="false">IF($E31="Zomer",$K31,"")</f>
        <v/>
      </c>
      <c r="O31" s="26" t="n">
        <f aca="false">IF($E31="Herfst",$K31,"")</f>
        <v>4.24799299015952</v>
      </c>
    </row>
    <row r="32" customFormat="false" ht="15" hidden="false" customHeight="true" outlineLevel="0" collapsed="false">
      <c r="A32" s="23" t="n">
        <v>45928</v>
      </c>
      <c r="B32" s="24" t="n">
        <v>9.07</v>
      </c>
      <c r="C32" s="24" t="n">
        <v>16.94</v>
      </c>
      <c r="D32" s="24" t="n">
        <v>7.4</v>
      </c>
      <c r="E32" s="24" t="s">
        <v>25</v>
      </c>
      <c r="F32" s="24" t="n">
        <v>16.94</v>
      </c>
      <c r="G32" s="25" t="n">
        <v>11</v>
      </c>
      <c r="H32" s="24" t="n">
        <v>9.09</v>
      </c>
      <c r="I32" s="25" t="n">
        <v>14</v>
      </c>
      <c r="J32" s="24" t="n">
        <v>9.49</v>
      </c>
      <c r="K32" s="26" t="n">
        <f aca="false">MAX(0,MIN(Instellingen!$B$8*MIN(F32,Instellingen!$B$4*G32),MIN(H32,Instellingen!$B$4*I32)/Instellingen!$B$8))</f>
        <v>9.58170131031019</v>
      </c>
      <c r="L32" s="26" t="str">
        <f aca="false">IF($E32="Winter",$K32,"")</f>
        <v/>
      </c>
      <c r="M32" s="26" t="str">
        <f aca="false">IF($E32="Lente",$K32,"")</f>
        <v/>
      </c>
      <c r="N32" s="26" t="str">
        <f aca="false">IF($E32="Zomer",$K32,"")</f>
        <v/>
      </c>
      <c r="O32" s="26" t="n">
        <f aca="false">IF($E32="Herfst",$K32,"")</f>
        <v>9.58170131031019</v>
      </c>
    </row>
    <row r="33" customFormat="false" ht="15" hidden="false" customHeight="true" outlineLevel="0" collapsed="false">
      <c r="A33" s="23" t="n">
        <v>45929</v>
      </c>
      <c r="B33" s="24" t="n">
        <v>8.05</v>
      </c>
      <c r="C33" s="24" t="n">
        <v>10.66</v>
      </c>
      <c r="D33" s="24" t="n">
        <v>5.33</v>
      </c>
      <c r="E33" s="24" t="s">
        <v>25</v>
      </c>
      <c r="F33" s="24" t="n">
        <v>10.66</v>
      </c>
      <c r="G33" s="25" t="n">
        <v>8</v>
      </c>
      <c r="H33" s="24" t="n">
        <v>4.05</v>
      </c>
      <c r="I33" s="25" t="n">
        <v>15</v>
      </c>
      <c r="J33" s="24" t="n">
        <v>4.23</v>
      </c>
      <c r="K33" s="26" t="n">
        <f aca="false">MAX(0,MIN(Instellingen!$B$8*MIN(F33,Instellingen!$B$4*G33),MIN(H33,Instellingen!$B$4*I33)/Instellingen!$B$8))</f>
        <v>4.26907484122731</v>
      </c>
      <c r="L33" s="26" t="str">
        <f aca="false">IF($E33="Winter",$K33,"")</f>
        <v/>
      </c>
      <c r="M33" s="26" t="str">
        <f aca="false">IF($E33="Lente",$K33,"")</f>
        <v/>
      </c>
      <c r="N33" s="26" t="str">
        <f aca="false">IF($E33="Zomer",$K33,"")</f>
        <v/>
      </c>
      <c r="O33" s="26" t="n">
        <f aca="false">IF($E33="Herfst",$K33,"")</f>
        <v>4.26907484122731</v>
      </c>
    </row>
    <row r="34" customFormat="false" ht="15" hidden="false" customHeight="true" outlineLevel="0" collapsed="false">
      <c r="A34" s="23" t="n">
        <v>45930</v>
      </c>
      <c r="B34" s="24" t="n">
        <v>3.05</v>
      </c>
      <c r="C34" s="24" t="n">
        <v>16.82</v>
      </c>
      <c r="D34" s="24" t="n">
        <v>2.73</v>
      </c>
      <c r="E34" s="24" t="s">
        <v>25</v>
      </c>
      <c r="F34" s="24" t="n">
        <v>16.82</v>
      </c>
      <c r="G34" s="25" t="n">
        <v>11</v>
      </c>
      <c r="H34" s="24" t="n">
        <v>3.14</v>
      </c>
      <c r="I34" s="25" t="n">
        <v>13</v>
      </c>
      <c r="J34" s="24" t="n">
        <v>3.28</v>
      </c>
      <c r="K34" s="26" t="n">
        <f aca="false">MAX(0,MIN(Instellingen!$B$8*MIN(F34,Instellingen!$B$4*G34),MIN(H34,Instellingen!$B$4*I34)/Instellingen!$B$8))</f>
        <v>3.3098506176429</v>
      </c>
      <c r="L34" s="26" t="str">
        <f aca="false">IF($E34="Winter",$K34,"")</f>
        <v/>
      </c>
      <c r="M34" s="26" t="str">
        <f aca="false">IF($E34="Lente",$K34,"")</f>
        <v/>
      </c>
      <c r="N34" s="26" t="str">
        <f aca="false">IF($E34="Zomer",$K34,"")</f>
        <v/>
      </c>
      <c r="O34" s="26" t="n">
        <f aca="false">IF($E34="Herfst",$K34,"")</f>
        <v>3.3098506176429</v>
      </c>
    </row>
    <row r="35" customFormat="false" ht="15" hidden="false" customHeight="true" outlineLevel="0" collapsed="false">
      <c r="A35" s="23" t="n">
        <v>45931</v>
      </c>
      <c r="B35" s="24" t="n">
        <v>9.32</v>
      </c>
      <c r="C35" s="24" t="n">
        <v>14.04</v>
      </c>
      <c r="D35" s="24" t="n">
        <v>7.37</v>
      </c>
      <c r="E35" s="24" t="s">
        <v>25</v>
      </c>
      <c r="F35" s="24" t="n">
        <v>14.04</v>
      </c>
      <c r="G35" s="25" t="n">
        <v>11</v>
      </c>
      <c r="H35" s="24" t="n">
        <v>6.67</v>
      </c>
      <c r="I35" s="25" t="n">
        <v>13</v>
      </c>
      <c r="J35" s="24" t="n">
        <v>6.96</v>
      </c>
      <c r="K35" s="26" t="n">
        <f aca="false">MAX(0,MIN(Instellingen!$B$8*MIN(F35,Instellingen!$B$4*G35),MIN(H35,Instellingen!$B$4*I35)/Instellingen!$B$8))</f>
        <v>7.0307973311077</v>
      </c>
      <c r="L35" s="26" t="str">
        <f aca="false">IF($E35="Winter",$K35,"")</f>
        <v/>
      </c>
      <c r="M35" s="26" t="str">
        <f aca="false">IF($E35="Lente",$K35,"")</f>
        <v/>
      </c>
      <c r="N35" s="26" t="str">
        <f aca="false">IF($E35="Zomer",$K35,"")</f>
        <v/>
      </c>
      <c r="O35" s="26" t="n">
        <f aca="false">IF($E35="Herfst",$K35,"")</f>
        <v>7.0307973311077</v>
      </c>
    </row>
    <row r="36" customFormat="false" ht="15" hidden="false" customHeight="true" outlineLevel="0" collapsed="false">
      <c r="A36" s="23" t="n">
        <v>45932</v>
      </c>
      <c r="B36" s="24" t="n">
        <v>9.83</v>
      </c>
      <c r="C36" s="24" t="n">
        <v>13.21</v>
      </c>
      <c r="D36" s="24" t="n">
        <v>8.62</v>
      </c>
      <c r="E36" s="24" t="s">
        <v>25</v>
      </c>
      <c r="F36" s="24" t="n">
        <v>13.21</v>
      </c>
      <c r="G36" s="25" t="n">
        <v>10</v>
      </c>
      <c r="H36" s="24" t="n">
        <v>13.64</v>
      </c>
      <c r="I36" s="25" t="n">
        <v>15</v>
      </c>
      <c r="J36" s="24" t="n">
        <v>12.41</v>
      </c>
      <c r="K36" s="26" t="n">
        <f aca="false">MAX(0,MIN(Instellingen!$B$8*MIN(F36,Instellingen!$B$4*G36),MIN(H36,Instellingen!$B$4*I36)/Instellingen!$B$8))</f>
        <v>12.5321063672473</v>
      </c>
      <c r="L36" s="26" t="str">
        <f aca="false">IF($E36="Winter",$K36,"")</f>
        <v/>
      </c>
      <c r="M36" s="26" t="str">
        <f aca="false">IF($E36="Lente",$K36,"")</f>
        <v/>
      </c>
      <c r="N36" s="26" t="str">
        <f aca="false">IF($E36="Zomer",$K36,"")</f>
        <v/>
      </c>
      <c r="O36" s="26" t="n">
        <f aca="false">IF($E36="Herfst",$K36,"")</f>
        <v>12.5321063672473</v>
      </c>
    </row>
    <row r="37" customFormat="false" ht="15" hidden="false" customHeight="true" outlineLevel="0" collapsed="false">
      <c r="A37" s="23" t="n">
        <v>45933</v>
      </c>
      <c r="B37" s="24" t="n">
        <v>13.53</v>
      </c>
      <c r="C37" s="24" t="n">
        <v>1.39</v>
      </c>
      <c r="D37" s="24" t="n">
        <v>12.23</v>
      </c>
      <c r="E37" s="24" t="s">
        <v>25</v>
      </c>
      <c r="F37" s="24" t="n">
        <v>1.39</v>
      </c>
      <c r="G37" s="25" t="n">
        <v>8</v>
      </c>
      <c r="H37" s="24" t="n">
        <v>10.99</v>
      </c>
      <c r="I37" s="25" t="n">
        <v>18</v>
      </c>
      <c r="J37" s="24" t="n">
        <v>1.31</v>
      </c>
      <c r="K37" s="26" t="n">
        <f aca="false">MAX(0,MIN(Instellingen!$B$8*MIN(F37,Instellingen!$B$4*G37),MIN(H37,Instellingen!$B$4*I37)/Instellingen!$B$8))</f>
        <v>1.31866978429021</v>
      </c>
      <c r="L37" s="26" t="str">
        <f aca="false">IF($E37="Winter",$K37,"")</f>
        <v/>
      </c>
      <c r="M37" s="26" t="str">
        <f aca="false">IF($E37="Lente",$K37,"")</f>
        <v/>
      </c>
      <c r="N37" s="26" t="str">
        <f aca="false">IF($E37="Zomer",$K37,"")</f>
        <v/>
      </c>
      <c r="O37" s="26" t="n">
        <f aca="false">IF($E37="Herfst",$K37,"")</f>
        <v>1.31866978429021</v>
      </c>
    </row>
    <row r="38" customFormat="false" ht="15" hidden="false" customHeight="true" outlineLevel="0" collapsed="false">
      <c r="A38" s="23" t="n">
        <v>45934</v>
      </c>
      <c r="B38" s="24" t="n">
        <v>16.36</v>
      </c>
      <c r="C38" s="24" t="n">
        <v>6.68</v>
      </c>
      <c r="D38" s="24" t="n">
        <v>13.53</v>
      </c>
      <c r="E38" s="24" t="s">
        <v>25</v>
      </c>
      <c r="F38" s="24" t="n">
        <v>6.68</v>
      </c>
      <c r="G38" s="25" t="n">
        <v>7</v>
      </c>
      <c r="H38" s="24" t="n">
        <v>10.31</v>
      </c>
      <c r="I38" s="25" t="n">
        <v>15</v>
      </c>
      <c r="J38" s="24" t="n">
        <v>6.27</v>
      </c>
      <c r="K38" s="26" t="n">
        <f aca="false">MAX(0,MIN(Instellingen!$B$8*MIN(F38,Instellingen!$B$4*G38),MIN(H38,Instellingen!$B$4*I38)/Instellingen!$B$8))</f>
        <v>6.33720443097743</v>
      </c>
      <c r="L38" s="26" t="str">
        <f aca="false">IF($E38="Winter",$K38,"")</f>
        <v/>
      </c>
      <c r="M38" s="26" t="str">
        <f aca="false">IF($E38="Lente",$K38,"")</f>
        <v/>
      </c>
      <c r="N38" s="26" t="str">
        <f aca="false">IF($E38="Zomer",$K38,"")</f>
        <v/>
      </c>
      <c r="O38" s="26" t="n">
        <f aca="false">IF($E38="Herfst",$K38,"")</f>
        <v>6.33720443097743</v>
      </c>
    </row>
    <row r="39" customFormat="false" ht="15" hidden="false" customHeight="true" outlineLevel="0" collapsed="false">
      <c r="A39" s="23" t="n">
        <v>45935</v>
      </c>
      <c r="B39" s="24" t="n">
        <v>19.54</v>
      </c>
      <c r="C39" s="24" t="n">
        <v>5.78</v>
      </c>
      <c r="D39" s="24" t="n">
        <v>14.46</v>
      </c>
      <c r="E39" s="24" t="s">
        <v>25</v>
      </c>
      <c r="F39" s="24" t="n">
        <v>5.79</v>
      </c>
      <c r="G39" s="25" t="n">
        <v>9</v>
      </c>
      <c r="H39" s="24" t="n">
        <v>15.95</v>
      </c>
      <c r="I39" s="25" t="n">
        <v>16</v>
      </c>
      <c r="J39" s="24" t="n">
        <v>5.43</v>
      </c>
      <c r="K39" s="26" t="n">
        <f aca="false">MAX(0,MIN(Instellingen!$B$8*MIN(F39,Instellingen!$B$4*G39),MIN(H39,Instellingen!$B$4*I39)/Instellingen!$B$8))</f>
        <v>5.49287629571248</v>
      </c>
      <c r="L39" s="26" t="str">
        <f aca="false">IF($E39="Winter",$K39,"")</f>
        <v/>
      </c>
      <c r="M39" s="26" t="str">
        <f aca="false">IF($E39="Lente",$K39,"")</f>
        <v/>
      </c>
      <c r="N39" s="26" t="str">
        <f aca="false">IF($E39="Zomer",$K39,"")</f>
        <v/>
      </c>
      <c r="O39" s="26" t="n">
        <f aca="false">IF($E39="Herfst",$K39,"")</f>
        <v>5.49287629571248</v>
      </c>
    </row>
    <row r="40" customFormat="false" ht="15" hidden="false" customHeight="true" outlineLevel="0" collapsed="false">
      <c r="A40" s="23" t="n">
        <v>45936</v>
      </c>
      <c r="B40" s="24" t="n">
        <v>11.41</v>
      </c>
      <c r="C40" s="24" t="n">
        <v>1.94</v>
      </c>
      <c r="D40" s="24" t="n">
        <v>10.15</v>
      </c>
      <c r="E40" s="24" t="s">
        <v>25</v>
      </c>
      <c r="F40" s="24" t="n">
        <v>1.94</v>
      </c>
      <c r="G40" s="25" t="n">
        <v>6</v>
      </c>
      <c r="H40" s="24" t="n">
        <v>8.65</v>
      </c>
      <c r="I40" s="25" t="n">
        <v>16</v>
      </c>
      <c r="J40" s="24" t="n">
        <v>1.82</v>
      </c>
      <c r="K40" s="26" t="n">
        <f aca="false">MAX(0,MIN(Instellingen!$B$8*MIN(F40,Instellingen!$B$4*G40),MIN(H40,Instellingen!$B$4*I40)/Instellingen!$B$8))</f>
        <v>1.840445598218</v>
      </c>
      <c r="L40" s="26" t="str">
        <f aca="false">IF($E40="Winter",$K40,"")</f>
        <v/>
      </c>
      <c r="M40" s="26" t="str">
        <f aca="false">IF($E40="Lente",$K40,"")</f>
        <v/>
      </c>
      <c r="N40" s="26" t="str">
        <f aca="false">IF($E40="Zomer",$K40,"")</f>
        <v/>
      </c>
      <c r="O40" s="26" t="n">
        <f aca="false">IF($E40="Herfst",$K40,"")</f>
        <v>1.840445598218</v>
      </c>
    </row>
    <row r="41" customFormat="false" ht="15" hidden="false" customHeight="true" outlineLevel="0" collapsed="false">
      <c r="A41" s="23" t="n">
        <v>45937</v>
      </c>
      <c r="B41" s="24" t="n">
        <v>7.68</v>
      </c>
      <c r="C41" s="24" t="n">
        <v>5.64</v>
      </c>
      <c r="D41" s="24" t="n">
        <v>6.66</v>
      </c>
      <c r="E41" s="24" t="s">
        <v>25</v>
      </c>
      <c r="F41" s="24" t="n">
        <v>5.64</v>
      </c>
      <c r="G41" s="25" t="n">
        <v>8</v>
      </c>
      <c r="H41" s="24" t="n">
        <v>8.86</v>
      </c>
      <c r="I41" s="25" t="n">
        <v>18</v>
      </c>
      <c r="J41" s="24" t="n">
        <v>5.3</v>
      </c>
      <c r="K41" s="26" t="n">
        <f aca="false">MAX(0,MIN(Instellingen!$B$8*MIN(F41,Instellingen!$B$4*G41),MIN(H41,Instellingen!$B$4*I41)/Instellingen!$B$8))</f>
        <v>5.3505738010049</v>
      </c>
      <c r="L41" s="26" t="str">
        <f aca="false">IF($E41="Winter",$K41,"")</f>
        <v/>
      </c>
      <c r="M41" s="26" t="str">
        <f aca="false">IF($E41="Lente",$K41,"")</f>
        <v/>
      </c>
      <c r="N41" s="26" t="str">
        <f aca="false">IF($E41="Zomer",$K41,"")</f>
        <v/>
      </c>
      <c r="O41" s="26" t="n">
        <f aca="false">IF($E41="Herfst",$K41,"")</f>
        <v>5.3505738010049</v>
      </c>
    </row>
    <row r="42" customFormat="false" ht="15" hidden="false" customHeight="true" outlineLevel="0" collapsed="false">
      <c r="A42" s="23" t="n">
        <v>45938</v>
      </c>
      <c r="B42" s="24" t="n">
        <v>14.21</v>
      </c>
      <c r="C42" s="24" t="n">
        <v>0.85</v>
      </c>
      <c r="D42" s="24" t="n">
        <v>12.28</v>
      </c>
      <c r="E42" s="24" t="s">
        <v>25</v>
      </c>
      <c r="F42" s="24" t="n">
        <v>0.85</v>
      </c>
      <c r="G42" s="25" t="n">
        <v>5</v>
      </c>
      <c r="H42" s="24" t="n">
        <v>9.89</v>
      </c>
      <c r="I42" s="25" t="n">
        <v>17</v>
      </c>
      <c r="J42" s="24" t="n">
        <v>0.58</v>
      </c>
      <c r="K42" s="26" t="n">
        <f aca="false">MAX(0,MIN(Instellingen!$B$8*MIN(F42,Instellingen!$B$4*G42),MIN(H42,Instellingen!$B$4*I42)/Instellingen!$B$8))</f>
        <v>0.806380803342937</v>
      </c>
      <c r="L42" s="26" t="str">
        <f aca="false">IF($E42="Winter",$K42,"")</f>
        <v/>
      </c>
      <c r="M42" s="26" t="str">
        <f aca="false">IF($E42="Lente",$K42,"")</f>
        <v/>
      </c>
      <c r="N42" s="26" t="str">
        <f aca="false">IF($E42="Zomer",$K42,"")</f>
        <v/>
      </c>
      <c r="O42" s="26" t="n">
        <f aca="false">IF($E42="Herfst",$K42,"")</f>
        <v>0.806380803342937</v>
      </c>
    </row>
    <row r="43" customFormat="false" ht="15" hidden="false" customHeight="true" outlineLevel="0" collapsed="false">
      <c r="A43" s="23" t="n">
        <v>45939</v>
      </c>
      <c r="B43" s="24" t="n">
        <v>6.8</v>
      </c>
      <c r="C43" s="24" t="n">
        <v>11.34</v>
      </c>
      <c r="D43" s="24" t="n">
        <v>5.66</v>
      </c>
      <c r="E43" s="24" t="s">
        <v>25</v>
      </c>
      <c r="F43" s="24" t="n">
        <v>11.34</v>
      </c>
      <c r="G43" s="25" t="n">
        <v>11</v>
      </c>
      <c r="H43" s="24" t="n">
        <v>5.66</v>
      </c>
      <c r="I43" s="25" t="n">
        <v>13</v>
      </c>
      <c r="J43" s="24" t="n">
        <v>5.91</v>
      </c>
      <c r="K43" s="26" t="n">
        <f aca="false">MAX(0,MIN(Instellingen!$B$8*MIN(F43,Instellingen!$B$4*G43),MIN(H43,Instellingen!$B$4*I43)/Instellingen!$B$8))</f>
        <v>5.96616385218434</v>
      </c>
      <c r="L43" s="26" t="str">
        <f aca="false">IF($E43="Winter",$K43,"")</f>
        <v/>
      </c>
      <c r="M43" s="26" t="str">
        <f aca="false">IF($E43="Lente",$K43,"")</f>
        <v/>
      </c>
      <c r="N43" s="26" t="str">
        <f aca="false">IF($E43="Zomer",$K43,"")</f>
        <v/>
      </c>
      <c r="O43" s="26" t="n">
        <f aca="false">IF($E43="Herfst",$K43,"")</f>
        <v>5.96616385218434</v>
      </c>
    </row>
    <row r="44" customFormat="false" ht="15" hidden="false" customHeight="true" outlineLevel="0" collapsed="false">
      <c r="A44" s="23" t="n">
        <v>45940</v>
      </c>
      <c r="B44" s="24" t="n">
        <v>9.18</v>
      </c>
      <c r="C44" s="24" t="n">
        <v>5.51</v>
      </c>
      <c r="D44" s="24" t="n">
        <v>8.96</v>
      </c>
      <c r="E44" s="24" t="s">
        <v>25</v>
      </c>
      <c r="F44" s="24" t="n">
        <v>5.51</v>
      </c>
      <c r="G44" s="25" t="n">
        <v>8</v>
      </c>
      <c r="H44" s="24" t="n">
        <v>9.36</v>
      </c>
      <c r="I44" s="25" t="n">
        <v>18</v>
      </c>
      <c r="J44" s="24" t="n">
        <v>5.17</v>
      </c>
      <c r="K44" s="26" t="n">
        <f aca="false">MAX(0,MIN(Instellingen!$B$8*MIN(F44,Instellingen!$B$4*G44),MIN(H44,Instellingen!$B$4*I44)/Instellingen!$B$8))</f>
        <v>5.22724497225833</v>
      </c>
      <c r="L44" s="26" t="str">
        <f aca="false">IF($E44="Winter",$K44,"")</f>
        <v/>
      </c>
      <c r="M44" s="26" t="str">
        <f aca="false">IF($E44="Lente",$K44,"")</f>
        <v/>
      </c>
      <c r="N44" s="26" t="str">
        <f aca="false">IF($E44="Zomer",$K44,"")</f>
        <v/>
      </c>
      <c r="O44" s="26" t="n">
        <f aca="false">IF($E44="Herfst",$K44,"")</f>
        <v>5.22724497225833</v>
      </c>
    </row>
    <row r="45" customFormat="false" ht="15" hidden="false" customHeight="true" outlineLevel="0" collapsed="false">
      <c r="A45" s="23" t="n">
        <v>45941</v>
      </c>
      <c r="B45" s="24" t="n">
        <v>11.4</v>
      </c>
      <c r="C45" s="24" t="n">
        <v>2.22</v>
      </c>
      <c r="D45" s="24" t="n">
        <v>10.49</v>
      </c>
      <c r="E45" s="24" t="s">
        <v>25</v>
      </c>
      <c r="F45" s="24" t="n">
        <v>2.22</v>
      </c>
      <c r="G45" s="25" t="n">
        <v>5</v>
      </c>
      <c r="H45" s="24" t="n">
        <v>10.45</v>
      </c>
      <c r="I45" s="25" t="n">
        <v>18</v>
      </c>
      <c r="J45" s="24" t="n">
        <v>2.08</v>
      </c>
      <c r="K45" s="26" t="n">
        <f aca="false">MAX(0,MIN(Instellingen!$B$8*MIN(F45,Instellingen!$B$4*G45),MIN(H45,Instellingen!$B$4*I45)/Instellingen!$B$8))</f>
        <v>2.10607692167214</v>
      </c>
      <c r="L45" s="26" t="str">
        <f aca="false">IF($E45="Winter",$K45,"")</f>
        <v/>
      </c>
      <c r="M45" s="26" t="str">
        <f aca="false">IF($E45="Lente",$K45,"")</f>
        <v/>
      </c>
      <c r="N45" s="26" t="str">
        <f aca="false">IF($E45="Zomer",$K45,"")</f>
        <v/>
      </c>
      <c r="O45" s="26" t="n">
        <f aca="false">IF($E45="Herfst",$K45,"")</f>
        <v>2.10607692167214</v>
      </c>
    </row>
    <row r="46" customFormat="false" ht="15" hidden="false" customHeight="true" outlineLevel="0" collapsed="false">
      <c r="A46" s="23" t="n">
        <v>45942</v>
      </c>
      <c r="B46" s="24" t="n">
        <v>13.65</v>
      </c>
      <c r="C46" s="24" t="n">
        <v>2.86</v>
      </c>
      <c r="D46" s="24" t="n">
        <v>10.99</v>
      </c>
      <c r="E46" s="24" t="s">
        <v>25</v>
      </c>
      <c r="F46" s="24" t="n">
        <v>2.86</v>
      </c>
      <c r="G46" s="25" t="n">
        <v>8</v>
      </c>
      <c r="H46" s="24" t="n">
        <v>12.33</v>
      </c>
      <c r="I46" s="25" t="n">
        <v>16</v>
      </c>
      <c r="J46" s="24" t="n">
        <v>2.68</v>
      </c>
      <c r="K46" s="26" t="n">
        <f aca="false">MAX(0,MIN(Instellingen!$B$8*MIN(F46,Instellingen!$B$4*G46),MIN(H46,Instellingen!$B$4*I46)/Instellingen!$B$8))</f>
        <v>2.71323423242447</v>
      </c>
      <c r="L46" s="26" t="str">
        <f aca="false">IF($E46="Winter",$K46,"")</f>
        <v/>
      </c>
      <c r="M46" s="26" t="str">
        <f aca="false">IF($E46="Lente",$K46,"")</f>
        <v/>
      </c>
      <c r="N46" s="26" t="str">
        <f aca="false">IF($E46="Zomer",$K46,"")</f>
        <v/>
      </c>
      <c r="O46" s="26" t="n">
        <f aca="false">IF($E46="Herfst",$K46,"")</f>
        <v>2.71323423242447</v>
      </c>
    </row>
    <row r="47" customFormat="false" ht="15" hidden="false" customHeight="true" outlineLevel="0" collapsed="false">
      <c r="A47" s="23" t="n">
        <v>45943</v>
      </c>
      <c r="B47" s="24" t="n">
        <v>10.43</v>
      </c>
      <c r="C47" s="24" t="n">
        <v>6.22</v>
      </c>
      <c r="D47" s="24" t="n">
        <v>9.96</v>
      </c>
      <c r="E47" s="24" t="s">
        <v>25</v>
      </c>
      <c r="F47" s="24" t="n">
        <v>6.22</v>
      </c>
      <c r="G47" s="25" t="n">
        <v>9</v>
      </c>
      <c r="H47" s="24" t="n">
        <v>9.4</v>
      </c>
      <c r="I47" s="25" t="n">
        <v>15</v>
      </c>
      <c r="J47" s="24" t="n">
        <v>5.84</v>
      </c>
      <c r="K47" s="26" t="n">
        <f aca="false">MAX(0,MIN(Instellingen!$B$8*MIN(F47,Instellingen!$B$4*G47),MIN(H47,Instellingen!$B$4*I47)/Instellingen!$B$8))</f>
        <v>5.9008101138742</v>
      </c>
      <c r="L47" s="26" t="str">
        <f aca="false">IF($E47="Winter",$K47,"")</f>
        <v/>
      </c>
      <c r="M47" s="26" t="str">
        <f aca="false">IF($E47="Lente",$K47,"")</f>
        <v/>
      </c>
      <c r="N47" s="26" t="str">
        <f aca="false">IF($E47="Zomer",$K47,"")</f>
        <v/>
      </c>
      <c r="O47" s="26" t="n">
        <f aca="false">IF($E47="Herfst",$K47,"")</f>
        <v>5.9008101138742</v>
      </c>
    </row>
    <row r="48" customFormat="false" ht="15" hidden="false" customHeight="true" outlineLevel="0" collapsed="false">
      <c r="A48" s="23" t="n">
        <v>45944</v>
      </c>
      <c r="B48" s="24" t="n">
        <v>9.01</v>
      </c>
      <c r="C48" s="24" t="n">
        <v>3.86</v>
      </c>
      <c r="D48" s="24" t="n">
        <v>7.85</v>
      </c>
      <c r="E48" s="24" t="s">
        <v>25</v>
      </c>
      <c r="F48" s="24" t="n">
        <v>3.86</v>
      </c>
      <c r="G48" s="25" t="n">
        <v>9</v>
      </c>
      <c r="H48" s="24" t="n">
        <v>7.4</v>
      </c>
      <c r="I48" s="25" t="n">
        <v>15</v>
      </c>
      <c r="J48" s="24" t="n">
        <v>3.63</v>
      </c>
      <c r="K48" s="26" t="n">
        <f aca="false">MAX(0,MIN(Instellingen!$B$8*MIN(F48,Instellingen!$B$4*G48),MIN(H48,Instellingen!$B$4*I48)/Instellingen!$B$8))</f>
        <v>3.66191753047498</v>
      </c>
      <c r="L48" s="26" t="str">
        <f aca="false">IF($E48="Winter",$K48,"")</f>
        <v/>
      </c>
      <c r="M48" s="26" t="str">
        <f aca="false">IF($E48="Lente",$K48,"")</f>
        <v/>
      </c>
      <c r="N48" s="26" t="str">
        <f aca="false">IF($E48="Zomer",$K48,"")</f>
        <v/>
      </c>
      <c r="O48" s="26" t="n">
        <f aca="false">IF($E48="Herfst",$K48,"")</f>
        <v>3.66191753047498</v>
      </c>
    </row>
    <row r="49" customFormat="false" ht="15" hidden="false" customHeight="true" outlineLevel="0" collapsed="false">
      <c r="A49" s="23" t="n">
        <v>45945</v>
      </c>
      <c r="B49" s="24" t="n">
        <v>9.54</v>
      </c>
      <c r="C49" s="24" t="n">
        <v>1.21</v>
      </c>
      <c r="D49" s="24" t="n">
        <v>7.17</v>
      </c>
      <c r="E49" s="24" t="s">
        <v>25</v>
      </c>
      <c r="F49" s="24" t="n">
        <v>1.21</v>
      </c>
      <c r="G49" s="25" t="n">
        <v>7</v>
      </c>
      <c r="H49" s="24" t="n">
        <v>6.54</v>
      </c>
      <c r="I49" s="25" t="n">
        <v>17</v>
      </c>
      <c r="J49" s="24" t="n">
        <v>0.86</v>
      </c>
      <c r="K49" s="26" t="n">
        <f aca="false">MAX(0,MIN(Instellingen!$B$8*MIN(F49,Instellingen!$B$4*G49),MIN(H49,Instellingen!$B$4*I49)/Instellingen!$B$8))</f>
        <v>1.14790679064112</v>
      </c>
      <c r="L49" s="26" t="str">
        <f aca="false">IF($E49="Winter",$K49,"")</f>
        <v/>
      </c>
      <c r="M49" s="26" t="str">
        <f aca="false">IF($E49="Lente",$K49,"")</f>
        <v/>
      </c>
      <c r="N49" s="26" t="str">
        <f aca="false">IF($E49="Zomer",$K49,"")</f>
        <v/>
      </c>
      <c r="O49" s="26" t="n">
        <f aca="false">IF($E49="Herfst",$K49,"")</f>
        <v>1.14790679064112</v>
      </c>
    </row>
    <row r="50" customFormat="false" ht="15" hidden="false" customHeight="true" outlineLevel="0" collapsed="false">
      <c r="A50" s="23" t="n">
        <v>45946</v>
      </c>
      <c r="B50" s="24" t="n">
        <v>7.51</v>
      </c>
      <c r="C50" s="24" t="n">
        <v>7.69</v>
      </c>
      <c r="D50" s="24" t="n">
        <v>6.8</v>
      </c>
      <c r="E50" s="24" t="s">
        <v>25</v>
      </c>
      <c r="F50" s="24" t="n">
        <v>7.69</v>
      </c>
      <c r="G50" s="25" t="n">
        <v>9</v>
      </c>
      <c r="H50" s="24" t="n">
        <v>9.28</v>
      </c>
      <c r="I50" s="25" t="n">
        <v>15</v>
      </c>
      <c r="J50" s="24" t="n">
        <v>7.22</v>
      </c>
      <c r="K50" s="26" t="n">
        <f aca="false">MAX(0,MIN(Instellingen!$B$8*MIN(F50,Instellingen!$B$4*G50),MIN(H50,Instellingen!$B$4*I50)/Instellingen!$B$8))</f>
        <v>7.29537456200845</v>
      </c>
      <c r="L50" s="26" t="str">
        <f aca="false">IF($E50="Winter",$K50,"")</f>
        <v/>
      </c>
      <c r="M50" s="26" t="str">
        <f aca="false">IF($E50="Lente",$K50,"")</f>
        <v/>
      </c>
      <c r="N50" s="26" t="str">
        <f aca="false">IF($E50="Zomer",$K50,"")</f>
        <v/>
      </c>
      <c r="O50" s="26" t="n">
        <f aca="false">IF($E50="Herfst",$K50,"")</f>
        <v>7.29537456200845</v>
      </c>
    </row>
    <row r="51" customFormat="false" ht="15" hidden="false" customHeight="true" outlineLevel="0" collapsed="false">
      <c r="A51" s="23" t="n">
        <v>45947</v>
      </c>
      <c r="B51" s="24" t="n">
        <v>12.47</v>
      </c>
      <c r="C51" s="24" t="n">
        <v>5.94</v>
      </c>
      <c r="D51" s="24" t="n">
        <v>12.05</v>
      </c>
      <c r="E51" s="24" t="s">
        <v>25</v>
      </c>
      <c r="F51" s="24" t="n">
        <v>5.94</v>
      </c>
      <c r="G51" s="25" t="n">
        <v>9</v>
      </c>
      <c r="H51" s="24" t="n">
        <v>11.54</v>
      </c>
      <c r="I51" s="25" t="n">
        <v>16</v>
      </c>
      <c r="J51" s="24" t="n">
        <v>5.58</v>
      </c>
      <c r="K51" s="26" t="n">
        <f aca="false">MAX(0,MIN(Instellingen!$B$8*MIN(F51,Instellingen!$B$4*G51),MIN(H51,Instellingen!$B$4*I51)/Instellingen!$B$8))</f>
        <v>5.63517879042005</v>
      </c>
      <c r="L51" s="26" t="str">
        <f aca="false">IF($E51="Winter",$K51,"")</f>
        <v/>
      </c>
      <c r="M51" s="26" t="str">
        <f aca="false">IF($E51="Lente",$K51,"")</f>
        <v/>
      </c>
      <c r="N51" s="26" t="str">
        <f aca="false">IF($E51="Zomer",$K51,"")</f>
        <v/>
      </c>
      <c r="O51" s="26" t="n">
        <f aca="false">IF($E51="Herfst",$K51,"")</f>
        <v>5.63517879042005</v>
      </c>
    </row>
    <row r="52" customFormat="false" ht="15" hidden="false" customHeight="true" outlineLevel="0" collapsed="false">
      <c r="A52" s="23" t="n">
        <v>45948</v>
      </c>
      <c r="B52" s="24" t="n">
        <v>9.96</v>
      </c>
      <c r="C52" s="24" t="n">
        <v>6.74</v>
      </c>
      <c r="D52" s="24" t="n">
        <v>8.61</v>
      </c>
      <c r="E52" s="24" t="s">
        <v>25</v>
      </c>
      <c r="F52" s="24" t="n">
        <v>6.74</v>
      </c>
      <c r="G52" s="25" t="n">
        <v>7</v>
      </c>
      <c r="H52" s="24" t="n">
        <v>6.29</v>
      </c>
      <c r="I52" s="25" t="n">
        <v>16</v>
      </c>
      <c r="J52" s="24" t="n">
        <v>6.33</v>
      </c>
      <c r="K52" s="26" t="n">
        <f aca="false">MAX(0,MIN(Instellingen!$B$8*MIN(F52,Instellingen!$B$4*G52),MIN(H52,Instellingen!$B$4*I52)/Instellingen!$B$8))</f>
        <v>6.39412542886046</v>
      </c>
      <c r="L52" s="26" t="str">
        <f aca="false">IF($E52="Winter",$K52,"")</f>
        <v/>
      </c>
      <c r="M52" s="26" t="str">
        <f aca="false">IF($E52="Lente",$K52,"")</f>
        <v/>
      </c>
      <c r="N52" s="26" t="str">
        <f aca="false">IF($E52="Zomer",$K52,"")</f>
        <v/>
      </c>
      <c r="O52" s="26" t="n">
        <f aca="false">IF($E52="Herfst",$K52,"")</f>
        <v>6.39412542886046</v>
      </c>
    </row>
    <row r="53" customFormat="false" ht="15" hidden="false" customHeight="true" outlineLevel="0" collapsed="false">
      <c r="A53" s="23" t="n">
        <v>45949</v>
      </c>
      <c r="B53" s="24" t="n">
        <v>3.63</v>
      </c>
      <c r="C53" s="24" t="n">
        <v>9.62</v>
      </c>
      <c r="D53" s="24" t="n">
        <v>2.3</v>
      </c>
      <c r="E53" s="24" t="s">
        <v>25</v>
      </c>
      <c r="F53" s="24" t="n">
        <v>9.62</v>
      </c>
      <c r="G53" s="25" t="n">
        <v>9</v>
      </c>
      <c r="H53" s="24" t="n">
        <v>2.13</v>
      </c>
      <c r="I53" s="25" t="n">
        <v>15</v>
      </c>
      <c r="J53" s="24" t="n">
        <v>2.23</v>
      </c>
      <c r="K53" s="26" t="n">
        <f aca="false">MAX(0,MIN(Instellingen!$B$8*MIN(F53,Instellingen!$B$4*G53),MIN(H53,Instellingen!$B$4*I53)/Instellingen!$B$8))</f>
        <v>2.24521713871955</v>
      </c>
      <c r="L53" s="26" t="str">
        <f aca="false">IF($E53="Winter",$K53,"")</f>
        <v/>
      </c>
      <c r="M53" s="26" t="str">
        <f aca="false">IF($E53="Lente",$K53,"")</f>
        <v/>
      </c>
      <c r="N53" s="26" t="str">
        <f aca="false">IF($E53="Zomer",$K53,"")</f>
        <v/>
      </c>
      <c r="O53" s="26" t="n">
        <f aca="false">IF($E53="Herfst",$K53,"")</f>
        <v>2.24521713871955</v>
      </c>
    </row>
    <row r="54" customFormat="false" ht="15" hidden="false" customHeight="true" outlineLevel="0" collapsed="false">
      <c r="A54" s="23" t="n">
        <v>45950</v>
      </c>
      <c r="B54" s="24" t="n">
        <v>2.36</v>
      </c>
      <c r="C54" s="24" t="n">
        <v>6.11</v>
      </c>
      <c r="D54" s="24" t="n">
        <v>2.19</v>
      </c>
      <c r="E54" s="24" t="s">
        <v>25</v>
      </c>
      <c r="F54" s="24" t="n">
        <v>6.11</v>
      </c>
      <c r="G54" s="25" t="n">
        <v>9</v>
      </c>
      <c r="H54" s="24" t="n">
        <v>2.2</v>
      </c>
      <c r="I54" s="25" t="n">
        <v>15</v>
      </c>
      <c r="J54" s="24" t="n">
        <v>2.29</v>
      </c>
      <c r="K54" s="26" t="n">
        <f aca="false">MAX(0,MIN(Instellingen!$B$8*MIN(F54,Instellingen!$B$4*G54),MIN(H54,Instellingen!$B$4*I54)/Instellingen!$B$8))</f>
        <v>2.31900361745681</v>
      </c>
      <c r="L54" s="26" t="str">
        <f aca="false">IF($E54="Winter",$K54,"")</f>
        <v/>
      </c>
      <c r="M54" s="26" t="str">
        <f aca="false">IF($E54="Lente",$K54,"")</f>
        <v/>
      </c>
      <c r="N54" s="26" t="str">
        <f aca="false">IF($E54="Zomer",$K54,"")</f>
        <v/>
      </c>
      <c r="O54" s="26" t="n">
        <f aca="false">IF($E54="Herfst",$K54,"")</f>
        <v>2.31900361745681</v>
      </c>
    </row>
    <row r="55" customFormat="false" ht="15" hidden="false" customHeight="true" outlineLevel="0" collapsed="false">
      <c r="A55" s="23" t="n">
        <v>45951</v>
      </c>
      <c r="B55" s="24" t="n">
        <v>2.4</v>
      </c>
      <c r="C55" s="24" t="n">
        <v>5.84</v>
      </c>
      <c r="D55" s="24" t="n">
        <v>2.3</v>
      </c>
      <c r="E55" s="24" t="s">
        <v>25</v>
      </c>
      <c r="F55" s="24" t="n">
        <v>5.84</v>
      </c>
      <c r="G55" s="25" t="n">
        <v>9</v>
      </c>
      <c r="H55" s="24" t="n">
        <v>5.13</v>
      </c>
      <c r="I55" s="25" t="n">
        <v>16</v>
      </c>
      <c r="J55" s="24" t="n">
        <v>5.35</v>
      </c>
      <c r="K55" s="26" t="n">
        <f aca="false">MAX(0,MIN(Instellingen!$B$8*MIN(F55,Instellingen!$B$4*G55),MIN(H55,Instellingen!$B$4*I55)/Instellingen!$B$8))</f>
        <v>5.40749479888793</v>
      </c>
      <c r="L55" s="26" t="str">
        <f aca="false">IF($E55="Winter",$K55,"")</f>
        <v/>
      </c>
      <c r="M55" s="26" t="str">
        <f aca="false">IF($E55="Lente",$K55,"")</f>
        <v/>
      </c>
      <c r="N55" s="26" t="str">
        <f aca="false">IF($E55="Zomer",$K55,"")</f>
        <v/>
      </c>
      <c r="O55" s="26" t="n">
        <f aca="false">IF($E55="Herfst",$K55,"")</f>
        <v>5.40749479888793</v>
      </c>
    </row>
    <row r="56" customFormat="false" ht="15" hidden="false" customHeight="true" outlineLevel="0" collapsed="false">
      <c r="A56" s="23" t="n">
        <v>45952</v>
      </c>
      <c r="B56" s="24" t="n">
        <v>11.48</v>
      </c>
      <c r="C56" s="24" t="n">
        <v>2.29</v>
      </c>
      <c r="D56" s="24" t="n">
        <v>9.3</v>
      </c>
      <c r="E56" s="24" t="s">
        <v>25</v>
      </c>
      <c r="F56" s="24" t="n">
        <v>2.28</v>
      </c>
      <c r="G56" s="25" t="n">
        <v>8</v>
      </c>
      <c r="H56" s="24" t="n">
        <v>6.99</v>
      </c>
      <c r="I56" s="25" t="n">
        <v>15</v>
      </c>
      <c r="J56" s="24" t="n">
        <v>2.14</v>
      </c>
      <c r="K56" s="26" t="n">
        <f aca="false">MAX(0,MIN(Instellingen!$B$8*MIN(F56,Instellingen!$B$4*G56),MIN(H56,Instellingen!$B$4*I56)/Instellingen!$B$8))</f>
        <v>2.16299791955517</v>
      </c>
      <c r="L56" s="26" t="str">
        <f aca="false">IF($E56="Winter",$K56,"")</f>
        <v/>
      </c>
      <c r="M56" s="26" t="str">
        <f aca="false">IF($E56="Lente",$K56,"")</f>
        <v/>
      </c>
      <c r="N56" s="26" t="str">
        <f aca="false">IF($E56="Zomer",$K56,"")</f>
        <v/>
      </c>
      <c r="O56" s="26" t="n">
        <f aca="false">IF($E56="Herfst",$K56,"")</f>
        <v>2.16299791955517</v>
      </c>
    </row>
    <row r="57" customFormat="false" ht="15" hidden="false" customHeight="true" outlineLevel="0" collapsed="false">
      <c r="A57" s="23" t="n">
        <v>45953</v>
      </c>
      <c r="B57" s="24" t="n">
        <v>6.23</v>
      </c>
      <c r="C57" s="24" t="n">
        <v>1.27</v>
      </c>
      <c r="D57" s="24" t="n">
        <v>4.42</v>
      </c>
      <c r="E57" s="24" t="s">
        <v>25</v>
      </c>
      <c r="F57" s="24" t="n">
        <v>1.27</v>
      </c>
      <c r="G57" s="25" t="n">
        <v>6</v>
      </c>
      <c r="H57" s="24" t="n">
        <v>4.05</v>
      </c>
      <c r="I57" s="25" t="n">
        <v>18</v>
      </c>
      <c r="J57" s="24" t="n">
        <v>0.84</v>
      </c>
      <c r="K57" s="26" t="n">
        <f aca="false">MAX(0,MIN(Instellingen!$B$8*MIN(F57,Instellingen!$B$4*G57),MIN(H57,Instellingen!$B$4*I57)/Instellingen!$B$8))</f>
        <v>1.20482778852415</v>
      </c>
      <c r="L57" s="26" t="str">
        <f aca="false">IF($E57="Winter",$K57,"")</f>
        <v/>
      </c>
      <c r="M57" s="26" t="str">
        <f aca="false">IF($E57="Lente",$K57,"")</f>
        <v/>
      </c>
      <c r="N57" s="26" t="str">
        <f aca="false">IF($E57="Zomer",$K57,"")</f>
        <v/>
      </c>
      <c r="O57" s="26" t="n">
        <f aca="false">IF($E57="Herfst",$K57,"")</f>
        <v>1.20482778852415</v>
      </c>
    </row>
    <row r="58" customFormat="false" ht="15" hidden="false" customHeight="true" outlineLevel="0" collapsed="false">
      <c r="A58" s="23" t="n">
        <v>45954</v>
      </c>
      <c r="B58" s="24" t="n">
        <v>2.49</v>
      </c>
      <c r="C58" s="24" t="n">
        <v>11.66</v>
      </c>
      <c r="D58" s="24" t="n">
        <v>2.46</v>
      </c>
      <c r="E58" s="24" t="s">
        <v>25</v>
      </c>
      <c r="F58" s="24" t="n">
        <v>11.66</v>
      </c>
      <c r="G58" s="25" t="n">
        <v>9</v>
      </c>
      <c r="H58" s="24" t="n">
        <v>2.44</v>
      </c>
      <c r="I58" s="25" t="n">
        <v>15</v>
      </c>
      <c r="J58" s="24" t="n">
        <v>2.55</v>
      </c>
      <c r="K58" s="26" t="n">
        <f aca="false">MAX(0,MIN(Instellingen!$B$8*MIN(F58,Instellingen!$B$4*G58),MIN(H58,Instellingen!$B$4*I58)/Instellingen!$B$8))</f>
        <v>2.57198583027028</v>
      </c>
      <c r="L58" s="26" t="str">
        <f aca="false">IF($E58="Winter",$K58,"")</f>
        <v/>
      </c>
      <c r="M58" s="26" t="str">
        <f aca="false">IF($E58="Lente",$K58,"")</f>
        <v/>
      </c>
      <c r="N58" s="26" t="str">
        <f aca="false">IF($E58="Zomer",$K58,"")</f>
        <v/>
      </c>
      <c r="O58" s="26" t="n">
        <f aca="false">IF($E58="Herfst",$K58,"")</f>
        <v>2.57198583027028</v>
      </c>
    </row>
    <row r="59" customFormat="false" ht="15" hidden="false" customHeight="true" outlineLevel="0" collapsed="false">
      <c r="A59" s="23" t="n">
        <v>45955</v>
      </c>
      <c r="B59" s="24" t="n">
        <v>18.72</v>
      </c>
      <c r="C59" s="24" t="n">
        <v>2.07</v>
      </c>
      <c r="D59" s="24" t="n">
        <v>18.62</v>
      </c>
      <c r="E59" s="24" t="s">
        <v>25</v>
      </c>
      <c r="F59" s="24" t="n">
        <v>2.07</v>
      </c>
      <c r="G59" s="25" t="n">
        <v>5</v>
      </c>
      <c r="H59" s="24" t="n">
        <v>21.04</v>
      </c>
      <c r="I59" s="25" t="n">
        <v>20</v>
      </c>
      <c r="J59" s="24" t="n">
        <v>1.95</v>
      </c>
      <c r="K59" s="26" t="n">
        <f aca="false">MAX(0,MIN(Instellingen!$B$8*MIN(F59,Instellingen!$B$4*G59),MIN(H59,Instellingen!$B$4*I59)/Instellingen!$B$8))</f>
        <v>1.96377442696456</v>
      </c>
      <c r="L59" s="26" t="str">
        <f aca="false">IF($E59="Winter",$K59,"")</f>
        <v/>
      </c>
      <c r="M59" s="26" t="str">
        <f aca="false">IF($E59="Lente",$K59,"")</f>
        <v/>
      </c>
      <c r="N59" s="26" t="str">
        <f aca="false">IF($E59="Zomer",$K59,"")</f>
        <v/>
      </c>
      <c r="O59" s="26" t="n">
        <f aca="false">IF($E59="Herfst",$K59,"")</f>
        <v>1.96377442696456</v>
      </c>
    </row>
    <row r="60" customFormat="false" ht="15" hidden="false" customHeight="true" outlineLevel="0" collapsed="false">
      <c r="A60" s="23" t="n">
        <v>45956</v>
      </c>
      <c r="B60" s="24" t="n">
        <v>20.75</v>
      </c>
      <c r="C60" s="24" t="n">
        <v>1.05</v>
      </c>
      <c r="D60" s="24" t="n">
        <v>15.59</v>
      </c>
      <c r="E60" s="24" t="s">
        <v>25</v>
      </c>
      <c r="F60" s="24" t="n">
        <v>1.05</v>
      </c>
      <c r="G60" s="25" t="n">
        <v>5</v>
      </c>
      <c r="H60" s="24" t="n">
        <v>14.01</v>
      </c>
      <c r="I60" s="25" t="n">
        <v>18</v>
      </c>
      <c r="J60" s="24" t="n">
        <v>0.65</v>
      </c>
      <c r="K60" s="26" t="n">
        <f aca="false">MAX(0,MIN(Instellingen!$B$8*MIN(F60,Instellingen!$B$4*G60),MIN(H60,Instellingen!$B$4*I60)/Instellingen!$B$8))</f>
        <v>0.99611746295304</v>
      </c>
      <c r="L60" s="26" t="str">
        <f aca="false">IF($E60="Winter",$K60,"")</f>
        <v/>
      </c>
      <c r="M60" s="26" t="str">
        <f aca="false">IF($E60="Lente",$K60,"")</f>
        <v/>
      </c>
      <c r="N60" s="26" t="str">
        <f aca="false">IF($E60="Zomer",$K60,"")</f>
        <v/>
      </c>
      <c r="O60" s="26" t="n">
        <f aca="false">IF($E60="Herfst",$K60,"")</f>
        <v>0.99611746295304</v>
      </c>
    </row>
    <row r="61" customFormat="false" ht="15" hidden="false" customHeight="true" outlineLevel="0" collapsed="false">
      <c r="A61" s="23" t="n">
        <v>45957</v>
      </c>
      <c r="B61" s="24" t="n">
        <v>11.49</v>
      </c>
      <c r="C61" s="24" t="n">
        <v>5.04</v>
      </c>
      <c r="D61" s="24" t="n">
        <v>9.06</v>
      </c>
      <c r="E61" s="24" t="s">
        <v>25</v>
      </c>
      <c r="F61" s="24" t="n">
        <v>5.04</v>
      </c>
      <c r="G61" s="25" t="n">
        <v>8</v>
      </c>
      <c r="H61" s="24" t="n">
        <v>10.48</v>
      </c>
      <c r="I61" s="25" t="n">
        <v>17</v>
      </c>
      <c r="J61" s="24" t="n">
        <v>4.72</v>
      </c>
      <c r="K61" s="26" t="n">
        <f aca="false">MAX(0,MIN(Instellingen!$B$8*MIN(F61,Instellingen!$B$4*G61),MIN(H61,Instellingen!$B$4*I61)/Instellingen!$B$8))</f>
        <v>4.78136382217459</v>
      </c>
      <c r="L61" s="26" t="str">
        <f aca="false">IF($E61="Winter",$K61,"")</f>
        <v/>
      </c>
      <c r="M61" s="26" t="str">
        <f aca="false">IF($E61="Lente",$K61,"")</f>
        <v/>
      </c>
      <c r="N61" s="26" t="str">
        <f aca="false">IF($E61="Zomer",$K61,"")</f>
        <v/>
      </c>
      <c r="O61" s="26" t="n">
        <f aca="false">IF($E61="Herfst",$K61,"")</f>
        <v>4.78136382217459</v>
      </c>
    </row>
    <row r="62" customFormat="false" ht="15" hidden="false" customHeight="true" outlineLevel="0" collapsed="false">
      <c r="A62" s="23" t="n">
        <v>45958</v>
      </c>
      <c r="B62" s="24" t="n">
        <v>10.61</v>
      </c>
      <c r="C62" s="24" t="n">
        <v>4.18</v>
      </c>
      <c r="D62" s="24" t="n">
        <v>9.67</v>
      </c>
      <c r="E62" s="24" t="s">
        <v>25</v>
      </c>
      <c r="F62" s="24" t="n">
        <v>4.18</v>
      </c>
      <c r="G62" s="25" t="n">
        <v>7</v>
      </c>
      <c r="H62" s="24" t="n">
        <v>9.8</v>
      </c>
      <c r="I62" s="25" t="n">
        <v>16</v>
      </c>
      <c r="J62" s="24" t="n">
        <v>3.93</v>
      </c>
      <c r="K62" s="26" t="n">
        <f aca="false">MAX(0,MIN(Instellingen!$B$8*MIN(F62,Instellingen!$B$4*G62),MIN(H62,Instellingen!$B$4*I62)/Instellingen!$B$8))</f>
        <v>3.96549618585115</v>
      </c>
      <c r="L62" s="26" t="str">
        <f aca="false">IF($E62="Winter",$K62,"")</f>
        <v/>
      </c>
      <c r="M62" s="26" t="str">
        <f aca="false">IF($E62="Lente",$K62,"")</f>
        <v/>
      </c>
      <c r="N62" s="26" t="str">
        <f aca="false">IF($E62="Zomer",$K62,"")</f>
        <v/>
      </c>
      <c r="O62" s="26" t="n">
        <f aca="false">IF($E62="Herfst",$K62,"")</f>
        <v>3.96549618585115</v>
      </c>
    </row>
    <row r="63" customFormat="false" ht="15" hidden="false" customHeight="true" outlineLevel="0" collapsed="false">
      <c r="A63" s="23" t="n">
        <v>45959</v>
      </c>
      <c r="B63" s="24" t="n">
        <v>19.08</v>
      </c>
      <c r="C63" s="24" t="n">
        <v>3.82</v>
      </c>
      <c r="D63" s="24" t="n">
        <v>18.04</v>
      </c>
      <c r="E63" s="24" t="s">
        <v>25</v>
      </c>
      <c r="F63" s="24" t="n">
        <v>3.82</v>
      </c>
      <c r="G63" s="25" t="n">
        <v>8</v>
      </c>
      <c r="H63" s="24" t="n">
        <v>18.05</v>
      </c>
      <c r="I63" s="25" t="n">
        <v>16</v>
      </c>
      <c r="J63" s="24" t="n">
        <v>3.59</v>
      </c>
      <c r="K63" s="26" t="n">
        <f aca="false">MAX(0,MIN(Instellingen!$B$8*MIN(F63,Instellingen!$B$4*G63),MIN(H63,Instellingen!$B$4*I63)/Instellingen!$B$8))</f>
        <v>3.62397019855296</v>
      </c>
      <c r="L63" s="26" t="str">
        <f aca="false">IF($E63="Winter",$K63,"")</f>
        <v/>
      </c>
      <c r="M63" s="26" t="str">
        <f aca="false">IF($E63="Lente",$K63,"")</f>
        <v/>
      </c>
      <c r="N63" s="26" t="str">
        <f aca="false">IF($E63="Zomer",$K63,"")</f>
        <v/>
      </c>
      <c r="O63" s="26" t="n">
        <f aca="false">IF($E63="Herfst",$K63,"")</f>
        <v>3.62397019855296</v>
      </c>
    </row>
    <row r="64" customFormat="false" ht="15" hidden="false" customHeight="true" outlineLevel="0" collapsed="false">
      <c r="A64" s="23" t="n">
        <v>45960</v>
      </c>
      <c r="B64" s="24" t="n">
        <v>12.03</v>
      </c>
      <c r="C64" s="24" t="n">
        <v>4.72</v>
      </c>
      <c r="D64" s="24" t="n">
        <v>10.31</v>
      </c>
      <c r="E64" s="24" t="s">
        <v>25</v>
      </c>
      <c r="F64" s="24" t="n">
        <v>4.72</v>
      </c>
      <c r="G64" s="25" t="n">
        <v>9</v>
      </c>
      <c r="H64" s="24" t="n">
        <v>9.46</v>
      </c>
      <c r="I64" s="25" t="n">
        <v>17</v>
      </c>
      <c r="J64" s="24" t="n">
        <v>4.43</v>
      </c>
      <c r="K64" s="26" t="n">
        <f aca="false">MAX(0,MIN(Instellingen!$B$8*MIN(F64,Instellingen!$B$4*G64),MIN(H64,Instellingen!$B$4*I64)/Instellingen!$B$8))</f>
        <v>4.47778516679843</v>
      </c>
      <c r="L64" s="26" t="str">
        <f aca="false">IF($E64="Winter",$K64,"")</f>
        <v/>
      </c>
      <c r="M64" s="26" t="str">
        <f aca="false">IF($E64="Lente",$K64,"")</f>
        <v/>
      </c>
      <c r="N64" s="26" t="str">
        <f aca="false">IF($E64="Zomer",$K64,"")</f>
        <v/>
      </c>
      <c r="O64" s="26" t="n">
        <f aca="false">IF($E64="Herfst",$K64,"")</f>
        <v>4.47778516679843</v>
      </c>
    </row>
    <row r="65" customFormat="false" ht="15" hidden="false" customHeight="true" outlineLevel="0" collapsed="false">
      <c r="A65" s="23" t="n">
        <v>45961</v>
      </c>
      <c r="B65" s="24" t="n">
        <v>12.76</v>
      </c>
      <c r="C65" s="24" t="n">
        <v>2.8</v>
      </c>
      <c r="D65" s="24" t="n">
        <v>12.31</v>
      </c>
      <c r="E65" s="24" t="s">
        <v>25</v>
      </c>
      <c r="F65" s="24" t="n">
        <v>2.79</v>
      </c>
      <c r="G65" s="25" t="n">
        <v>6</v>
      </c>
      <c r="H65" s="24" t="n">
        <v>16.11</v>
      </c>
      <c r="I65" s="25" t="n">
        <v>19</v>
      </c>
      <c r="J65" s="24" t="n">
        <v>2.62</v>
      </c>
      <c r="K65" s="26" t="n">
        <f aca="false">MAX(0,MIN(Instellingen!$B$8*MIN(F65,Instellingen!$B$4*G65),MIN(H65,Instellingen!$B$4*I65)/Instellingen!$B$8))</f>
        <v>2.64682640156093</v>
      </c>
      <c r="L65" s="26" t="str">
        <f aca="false">IF($E65="Winter",$K65,"")</f>
        <v/>
      </c>
      <c r="M65" s="26" t="str">
        <f aca="false">IF($E65="Lente",$K65,"")</f>
        <v/>
      </c>
      <c r="N65" s="26" t="str">
        <f aca="false">IF($E65="Zomer",$K65,"")</f>
        <v/>
      </c>
      <c r="O65" s="26" t="n">
        <f aca="false">IF($E65="Herfst",$K65,"")</f>
        <v>2.64682640156093</v>
      </c>
    </row>
    <row r="66" customFormat="false" ht="15" hidden="false" customHeight="true" outlineLevel="0" collapsed="false">
      <c r="A66" s="23" t="n">
        <v>45962</v>
      </c>
      <c r="B66" s="24" t="n">
        <v>27.88</v>
      </c>
      <c r="C66" s="24" t="n">
        <v>0.23</v>
      </c>
      <c r="D66" s="24" t="n">
        <v>26.21</v>
      </c>
      <c r="E66" s="24" t="s">
        <v>25</v>
      </c>
      <c r="F66" s="24" t="n">
        <v>0.24</v>
      </c>
      <c r="G66" s="25" t="n">
        <v>3</v>
      </c>
      <c r="H66" s="24" t="n">
        <v>22.66</v>
      </c>
      <c r="I66" s="25" t="n">
        <v>19</v>
      </c>
      <c r="J66" s="24" t="n">
        <v>0.18</v>
      </c>
      <c r="K66" s="26" t="n">
        <f aca="false">MAX(0,MIN(Instellingen!$B$8*MIN(F66,Instellingen!$B$4*G66),MIN(H66,Instellingen!$B$4*I66)/Instellingen!$B$8))</f>
        <v>0.227683991532123</v>
      </c>
      <c r="L66" s="26" t="str">
        <f aca="false">IF($E66="Winter",$K66,"")</f>
        <v/>
      </c>
      <c r="M66" s="26" t="str">
        <f aca="false">IF($E66="Lente",$K66,"")</f>
        <v/>
      </c>
      <c r="N66" s="26" t="str">
        <f aca="false">IF($E66="Zomer",$K66,"")</f>
        <v/>
      </c>
      <c r="O66" s="26" t="n">
        <f aca="false">IF($E66="Herfst",$K66,"")</f>
        <v>0.227683991532123</v>
      </c>
    </row>
    <row r="67" customFormat="false" ht="15" hidden="false" customHeight="true" outlineLevel="0" collapsed="false">
      <c r="A67" s="23" t="n">
        <v>45963</v>
      </c>
      <c r="B67" s="24" t="n">
        <v>19.19</v>
      </c>
      <c r="C67" s="24" t="n">
        <v>4.44</v>
      </c>
      <c r="D67" s="24" t="n">
        <v>17.29</v>
      </c>
      <c r="E67" s="24" t="s">
        <v>25</v>
      </c>
      <c r="F67" s="24" t="n">
        <v>4.43</v>
      </c>
      <c r="G67" s="25" t="n">
        <v>6</v>
      </c>
      <c r="H67" s="24" t="n">
        <v>21.18</v>
      </c>
      <c r="I67" s="25" t="n">
        <v>19</v>
      </c>
      <c r="J67" s="24" t="n">
        <v>4.16</v>
      </c>
      <c r="K67" s="26" t="n">
        <f aca="false">MAX(0,MIN(Instellingen!$B$8*MIN(F67,Instellingen!$B$4*G67),MIN(H67,Instellingen!$B$4*I67)/Instellingen!$B$8))</f>
        <v>4.20266701036378</v>
      </c>
      <c r="L67" s="26" t="str">
        <f aca="false">IF($E67="Winter",$K67,"")</f>
        <v/>
      </c>
      <c r="M67" s="26" t="str">
        <f aca="false">IF($E67="Lente",$K67,"")</f>
        <v/>
      </c>
      <c r="N67" s="26" t="str">
        <f aca="false">IF($E67="Zomer",$K67,"")</f>
        <v/>
      </c>
      <c r="O67" s="26" t="n">
        <f aca="false">IF($E67="Herfst",$K67,"")</f>
        <v>4.20266701036378</v>
      </c>
    </row>
    <row r="68" customFormat="false" ht="15" hidden="false" customHeight="true" outlineLevel="0" collapsed="false">
      <c r="A68" s="23" t="n">
        <v>45964</v>
      </c>
      <c r="B68" s="24" t="n">
        <v>14.33</v>
      </c>
      <c r="C68" s="24" t="n">
        <v>0.98</v>
      </c>
      <c r="D68" s="24" t="n">
        <v>13.86</v>
      </c>
      <c r="E68" s="24" t="s">
        <v>25</v>
      </c>
      <c r="F68" s="24" t="n">
        <v>0.98</v>
      </c>
      <c r="G68" s="25" t="n">
        <v>6</v>
      </c>
      <c r="H68" s="24" t="n">
        <v>9.24</v>
      </c>
      <c r="I68" s="25" t="n">
        <v>17</v>
      </c>
      <c r="J68" s="24" t="n">
        <v>0.92</v>
      </c>
      <c r="K68" s="26" t="n">
        <f aca="false">MAX(0,MIN(Instellingen!$B$8*MIN(F68,Instellingen!$B$4*G68),MIN(H68,Instellingen!$B$4*I68)/Instellingen!$B$8))</f>
        <v>0.929709632089504</v>
      </c>
      <c r="L68" s="26" t="str">
        <f aca="false">IF($E68="Winter",$K68,"")</f>
        <v/>
      </c>
      <c r="M68" s="26" t="str">
        <f aca="false">IF($E68="Lente",$K68,"")</f>
        <v/>
      </c>
      <c r="N68" s="26" t="str">
        <f aca="false">IF($E68="Zomer",$K68,"")</f>
        <v/>
      </c>
      <c r="O68" s="26" t="n">
        <f aca="false">IF($E68="Herfst",$K68,"")</f>
        <v>0.929709632089504</v>
      </c>
    </row>
    <row r="69" customFormat="false" ht="15" hidden="false" customHeight="true" outlineLevel="0" collapsed="false">
      <c r="A69" s="23" t="n">
        <v>45965</v>
      </c>
      <c r="B69" s="24" t="n">
        <v>2.3</v>
      </c>
      <c r="C69" s="24" t="n">
        <v>4.5</v>
      </c>
      <c r="D69" s="24" t="n">
        <v>2.29</v>
      </c>
      <c r="E69" s="24" t="s">
        <v>25</v>
      </c>
      <c r="F69" s="24" t="n">
        <v>4.49</v>
      </c>
      <c r="G69" s="25" t="n">
        <v>5</v>
      </c>
      <c r="H69" s="24" t="n">
        <v>0</v>
      </c>
      <c r="I69" s="25" t="n">
        <v>28</v>
      </c>
      <c r="J69" s="24" t="n">
        <v>0</v>
      </c>
      <c r="K69" s="26" t="n">
        <f aca="false">MAX(0,MIN(Instellingen!$B$8*MIN(F69,Instellingen!$B$4*G69),MIN(H69,Instellingen!$B$4*I69)/Instellingen!$B$8))</f>
        <v>0</v>
      </c>
      <c r="L69" s="26" t="str">
        <f aca="false">IF($E69="Winter",$K69,"")</f>
        <v/>
      </c>
      <c r="M69" s="26" t="str">
        <f aca="false">IF($E69="Lente",$K69,"")</f>
        <v/>
      </c>
      <c r="N69" s="26" t="str">
        <f aca="false">IF($E69="Zomer",$K69,"")</f>
        <v/>
      </c>
      <c r="O69" s="26" t="n">
        <f aca="false">IF($E69="Herfst",$K69,"")</f>
        <v>0</v>
      </c>
    </row>
    <row r="70" customFormat="false" ht="15" hidden="false" customHeight="true" outlineLevel="0" collapsed="false">
      <c r="A70" s="23" t="n">
        <v>45966</v>
      </c>
      <c r="B70" s="24" t="n">
        <v>17.83</v>
      </c>
      <c r="C70" s="24" t="n">
        <v>10.06</v>
      </c>
      <c r="D70" s="24" t="n">
        <v>7.2</v>
      </c>
      <c r="E70" s="24" t="s">
        <v>25</v>
      </c>
      <c r="F70" s="24" t="n">
        <v>10.06</v>
      </c>
      <c r="G70" s="25" t="n">
        <v>1</v>
      </c>
      <c r="H70" s="24" t="n">
        <v>9.9</v>
      </c>
      <c r="I70" s="25" t="n">
        <v>13</v>
      </c>
      <c r="J70" s="24" t="n">
        <v>2.35</v>
      </c>
      <c r="K70" s="26" t="n">
        <f aca="false">MAX(0,MIN(Instellingen!$B$8*MIN(F70,Instellingen!$B$4*G70),MIN(H70,Instellingen!$B$4*I70)/Instellingen!$B$8))</f>
        <v>2.37170824512628</v>
      </c>
      <c r="L70" s="26" t="str">
        <f aca="false">IF($E70="Winter",$K70,"")</f>
        <v/>
      </c>
      <c r="M70" s="26" t="str">
        <f aca="false">IF($E70="Lente",$K70,"")</f>
        <v/>
      </c>
      <c r="N70" s="26" t="str">
        <f aca="false">IF($E70="Zomer",$K70,"")</f>
        <v/>
      </c>
      <c r="O70" s="26" t="n">
        <f aca="false">IF($E70="Herfst",$K70,"")</f>
        <v>2.37170824512628</v>
      </c>
    </row>
    <row r="71" customFormat="false" ht="15" hidden="false" customHeight="true" outlineLevel="0" collapsed="false">
      <c r="A71" s="23" t="n">
        <v>45967</v>
      </c>
      <c r="B71" s="24" t="n">
        <v>18.64</v>
      </c>
      <c r="C71" s="24" t="n">
        <v>6.51</v>
      </c>
      <c r="D71" s="24" t="n">
        <v>18.19</v>
      </c>
      <c r="E71" s="24" t="s">
        <v>25</v>
      </c>
      <c r="F71" s="24" t="n">
        <v>6.51</v>
      </c>
      <c r="G71" s="25" t="n">
        <v>8</v>
      </c>
      <c r="H71" s="24" t="n">
        <v>17.52</v>
      </c>
      <c r="I71" s="25" t="n">
        <v>16</v>
      </c>
      <c r="J71" s="24" t="n">
        <v>6.11</v>
      </c>
      <c r="K71" s="26" t="n">
        <f aca="false">MAX(0,MIN(Instellingen!$B$8*MIN(F71,Instellingen!$B$4*G71),MIN(H71,Instellingen!$B$4*I71)/Instellingen!$B$8))</f>
        <v>6.17592827030884</v>
      </c>
      <c r="L71" s="26" t="str">
        <f aca="false">IF($E71="Winter",$K71,"")</f>
        <v/>
      </c>
      <c r="M71" s="26" t="str">
        <f aca="false">IF($E71="Lente",$K71,"")</f>
        <v/>
      </c>
      <c r="N71" s="26" t="str">
        <f aca="false">IF($E71="Zomer",$K71,"")</f>
        <v/>
      </c>
      <c r="O71" s="26" t="n">
        <f aca="false">IF($E71="Herfst",$K71,"")</f>
        <v>6.17592827030884</v>
      </c>
    </row>
    <row r="72" customFormat="false" ht="15" hidden="false" customHeight="true" outlineLevel="0" collapsed="false">
      <c r="A72" s="23" t="n">
        <v>45968</v>
      </c>
      <c r="B72" s="24" t="n">
        <v>10.9</v>
      </c>
      <c r="C72" s="24" t="n">
        <v>9.75</v>
      </c>
      <c r="D72" s="24" t="n">
        <v>10.33</v>
      </c>
      <c r="E72" s="24" t="s">
        <v>25</v>
      </c>
      <c r="F72" s="24" t="n">
        <v>9.75</v>
      </c>
      <c r="G72" s="25" t="n">
        <v>9</v>
      </c>
      <c r="H72" s="24" t="n">
        <v>12</v>
      </c>
      <c r="I72" s="25" t="n">
        <v>17</v>
      </c>
      <c r="J72" s="24" t="n">
        <v>9.15</v>
      </c>
      <c r="K72" s="26" t="n">
        <f aca="false">MAX(0,MIN(Instellingen!$B$8*MIN(F72,Instellingen!$B$4*G72),MIN(H72,Instellingen!$B$4*I72)/Instellingen!$B$8))</f>
        <v>9.24966215599251</v>
      </c>
      <c r="L72" s="26" t="str">
        <f aca="false">IF($E72="Winter",$K72,"")</f>
        <v/>
      </c>
      <c r="M72" s="26" t="str">
        <f aca="false">IF($E72="Lente",$K72,"")</f>
        <v/>
      </c>
      <c r="N72" s="26" t="str">
        <f aca="false">IF($E72="Zomer",$K72,"")</f>
        <v/>
      </c>
      <c r="O72" s="26" t="n">
        <f aca="false">IF($E72="Herfst",$K72,"")</f>
        <v>9.24966215599251</v>
      </c>
    </row>
    <row r="73" customFormat="false" ht="15" hidden="false" customHeight="true" outlineLevel="0" collapsed="false">
      <c r="A73" s="23" t="n">
        <v>45969</v>
      </c>
      <c r="B73" s="24" t="n">
        <v>13.89</v>
      </c>
      <c r="C73" s="24" t="n">
        <v>1.8</v>
      </c>
      <c r="D73" s="24" t="n">
        <v>12.2</v>
      </c>
      <c r="E73" s="24" t="s">
        <v>25</v>
      </c>
      <c r="F73" s="24" t="n">
        <v>1.8</v>
      </c>
      <c r="G73" s="25" t="n">
        <v>5</v>
      </c>
      <c r="H73" s="24" t="n">
        <v>12.61</v>
      </c>
      <c r="I73" s="25" t="n">
        <v>19</v>
      </c>
      <c r="J73" s="24" t="n">
        <v>1.69</v>
      </c>
      <c r="K73" s="26" t="n">
        <f aca="false">MAX(0,MIN(Instellingen!$B$8*MIN(F73,Instellingen!$B$4*G73),MIN(H73,Instellingen!$B$4*I73)/Instellingen!$B$8))</f>
        <v>1.70762993649092</v>
      </c>
      <c r="L73" s="26" t="str">
        <f aca="false">IF($E73="Winter",$K73,"")</f>
        <v/>
      </c>
      <c r="M73" s="26" t="str">
        <f aca="false">IF($E73="Lente",$K73,"")</f>
        <v/>
      </c>
      <c r="N73" s="26" t="str">
        <f aca="false">IF($E73="Zomer",$K73,"")</f>
        <v/>
      </c>
      <c r="O73" s="26" t="n">
        <f aca="false">IF($E73="Herfst",$K73,"")</f>
        <v>1.70762993649092</v>
      </c>
    </row>
    <row r="74" customFormat="false" ht="15" hidden="false" customHeight="true" outlineLevel="0" collapsed="false">
      <c r="A74" s="23" t="n">
        <v>45970</v>
      </c>
      <c r="B74" s="24" t="n">
        <v>14.01</v>
      </c>
      <c r="C74" s="24" t="n">
        <v>4.59</v>
      </c>
      <c r="D74" s="24" t="n">
        <v>13.19</v>
      </c>
      <c r="E74" s="24" t="s">
        <v>25</v>
      </c>
      <c r="F74" s="24" t="n">
        <v>4.59</v>
      </c>
      <c r="G74" s="25" t="n">
        <v>6</v>
      </c>
      <c r="H74" s="24" t="n">
        <v>14.83</v>
      </c>
      <c r="I74" s="25" t="n">
        <v>19</v>
      </c>
      <c r="J74" s="24" t="n">
        <v>4.31</v>
      </c>
      <c r="K74" s="26" t="n">
        <f aca="false">MAX(0,MIN(Instellingen!$B$8*MIN(F74,Instellingen!$B$4*G74),MIN(H74,Instellingen!$B$4*I74)/Instellingen!$B$8))</f>
        <v>4.35445633805186</v>
      </c>
      <c r="L74" s="26" t="str">
        <f aca="false">IF($E74="Winter",$K74,"")</f>
        <v/>
      </c>
      <c r="M74" s="26" t="str">
        <f aca="false">IF($E74="Lente",$K74,"")</f>
        <v/>
      </c>
      <c r="N74" s="26" t="str">
        <f aca="false">IF($E74="Zomer",$K74,"")</f>
        <v/>
      </c>
      <c r="O74" s="26" t="n">
        <f aca="false">IF($E74="Herfst",$K74,"")</f>
        <v>4.35445633805186</v>
      </c>
    </row>
    <row r="75" customFormat="false" ht="15" hidden="false" customHeight="true" outlineLevel="0" collapsed="false">
      <c r="A75" s="23" t="n">
        <v>45971</v>
      </c>
      <c r="B75" s="24" t="n">
        <v>14.86</v>
      </c>
      <c r="C75" s="24" t="n">
        <v>0.71</v>
      </c>
      <c r="D75" s="24" t="n">
        <v>13.98</v>
      </c>
      <c r="E75" s="24" t="s">
        <v>25</v>
      </c>
      <c r="F75" s="24" t="n">
        <v>0.71</v>
      </c>
      <c r="G75" s="25" t="n">
        <v>4</v>
      </c>
      <c r="H75" s="24" t="n">
        <v>10.55</v>
      </c>
      <c r="I75" s="25" t="n">
        <v>18</v>
      </c>
      <c r="J75" s="24" t="n">
        <v>0.67</v>
      </c>
      <c r="K75" s="26" t="n">
        <f aca="false">MAX(0,MIN(Instellingen!$B$8*MIN(F75,Instellingen!$B$4*G75),MIN(H75,Instellingen!$B$4*I75)/Instellingen!$B$8))</f>
        <v>0.673565141615865</v>
      </c>
      <c r="L75" s="26" t="str">
        <f aca="false">IF($E75="Winter",$K75,"")</f>
        <v/>
      </c>
      <c r="M75" s="26" t="str">
        <f aca="false">IF($E75="Lente",$K75,"")</f>
        <v/>
      </c>
      <c r="N75" s="26" t="str">
        <f aca="false">IF($E75="Zomer",$K75,"")</f>
        <v/>
      </c>
      <c r="O75" s="26" t="n">
        <f aca="false">IF($E75="Herfst",$K75,"")</f>
        <v>0.673565141615865</v>
      </c>
    </row>
    <row r="76" customFormat="false" ht="15" hidden="false" customHeight="true" outlineLevel="0" collapsed="false">
      <c r="A76" s="23" t="n">
        <v>45972</v>
      </c>
      <c r="B76" s="24" t="n">
        <v>13.8</v>
      </c>
      <c r="C76" s="24" t="n">
        <v>0.93</v>
      </c>
      <c r="D76" s="24" t="n">
        <v>11.89</v>
      </c>
      <c r="E76" s="24" t="s">
        <v>25</v>
      </c>
      <c r="F76" s="24" t="n">
        <v>0.93</v>
      </c>
      <c r="G76" s="25" t="n">
        <v>5</v>
      </c>
      <c r="H76" s="24" t="n">
        <v>13.98</v>
      </c>
      <c r="I76" s="25" t="n">
        <v>20</v>
      </c>
      <c r="J76" s="24" t="n">
        <v>0.83</v>
      </c>
      <c r="K76" s="26" t="n">
        <f aca="false">MAX(0,MIN(Instellingen!$B$8*MIN(F76,Instellingen!$B$4*G76),MIN(H76,Instellingen!$B$4*I76)/Instellingen!$B$8))</f>
        <v>0.882275467186978</v>
      </c>
      <c r="L76" s="26" t="str">
        <f aca="false">IF($E76="Winter",$K76,"")</f>
        <v/>
      </c>
      <c r="M76" s="26" t="str">
        <f aca="false">IF($E76="Lente",$K76,"")</f>
        <v/>
      </c>
      <c r="N76" s="26" t="str">
        <f aca="false">IF($E76="Zomer",$K76,"")</f>
        <v/>
      </c>
      <c r="O76" s="26" t="n">
        <f aca="false">IF($E76="Herfst",$K76,"")</f>
        <v>0.882275467186978</v>
      </c>
    </row>
    <row r="77" customFormat="false" ht="15" hidden="false" customHeight="true" outlineLevel="0" collapsed="false">
      <c r="A77" s="23" t="n">
        <v>45973</v>
      </c>
      <c r="B77" s="24" t="n">
        <v>12.11</v>
      </c>
      <c r="C77" s="24" t="n">
        <v>4.81</v>
      </c>
      <c r="D77" s="24" t="n">
        <v>10.05</v>
      </c>
      <c r="E77" s="24" t="s">
        <v>25</v>
      </c>
      <c r="F77" s="24" t="n">
        <v>4.81</v>
      </c>
      <c r="G77" s="25" t="n">
        <v>6</v>
      </c>
      <c r="H77" s="24" t="n">
        <v>8.72</v>
      </c>
      <c r="I77" s="25" t="n">
        <v>18</v>
      </c>
      <c r="J77" s="24" t="n">
        <v>4.52</v>
      </c>
      <c r="K77" s="26" t="n">
        <f aca="false">MAX(0,MIN(Instellingen!$B$8*MIN(F77,Instellingen!$B$4*G77),MIN(H77,Instellingen!$B$4*I77)/Instellingen!$B$8))</f>
        <v>4.56316666362297</v>
      </c>
      <c r="L77" s="26" t="str">
        <f aca="false">IF($E77="Winter",$K77,"")</f>
        <v/>
      </c>
      <c r="M77" s="26" t="str">
        <f aca="false">IF($E77="Lente",$K77,"")</f>
        <v/>
      </c>
      <c r="N77" s="26" t="str">
        <f aca="false">IF($E77="Zomer",$K77,"")</f>
        <v/>
      </c>
      <c r="O77" s="26" t="n">
        <f aca="false">IF($E77="Herfst",$K77,"")</f>
        <v>4.56316666362297</v>
      </c>
    </row>
    <row r="78" customFormat="false" ht="15" hidden="false" customHeight="true" outlineLevel="0" collapsed="false">
      <c r="A78" s="23" t="n">
        <v>45974</v>
      </c>
      <c r="B78" s="24" t="n">
        <v>9.7</v>
      </c>
      <c r="C78" s="24" t="n">
        <v>1.55</v>
      </c>
      <c r="D78" s="24" t="n">
        <v>9.15</v>
      </c>
      <c r="E78" s="24" t="s">
        <v>25</v>
      </c>
      <c r="F78" s="24" t="n">
        <v>1.55</v>
      </c>
      <c r="G78" s="25" t="n">
        <v>5</v>
      </c>
      <c r="H78" s="24" t="n">
        <v>11.01</v>
      </c>
      <c r="I78" s="25" t="n">
        <v>22</v>
      </c>
      <c r="J78" s="24" t="n">
        <v>1.46</v>
      </c>
      <c r="K78" s="26" t="n">
        <f aca="false">MAX(0,MIN(Instellingen!$B$8*MIN(F78,Instellingen!$B$4*G78),MIN(H78,Instellingen!$B$4*I78)/Instellingen!$B$8))</f>
        <v>1.4704591119783</v>
      </c>
      <c r="L78" s="26" t="str">
        <f aca="false">IF($E78="Winter",$K78,"")</f>
        <v/>
      </c>
      <c r="M78" s="26" t="str">
        <f aca="false">IF($E78="Lente",$K78,"")</f>
        <v/>
      </c>
      <c r="N78" s="26" t="str">
        <f aca="false">IF($E78="Zomer",$K78,"")</f>
        <v/>
      </c>
      <c r="O78" s="26" t="n">
        <f aca="false">IF($E78="Herfst",$K78,"")</f>
        <v>1.4704591119783</v>
      </c>
    </row>
    <row r="79" customFormat="false" ht="15" hidden="false" customHeight="true" outlineLevel="0" collapsed="false">
      <c r="A79" s="23" t="n">
        <v>45975</v>
      </c>
      <c r="B79" s="24" t="n">
        <v>13.61</v>
      </c>
      <c r="C79" s="24" t="n">
        <v>0.02</v>
      </c>
      <c r="D79" s="24" t="n">
        <v>13.52</v>
      </c>
      <c r="E79" s="24" t="s">
        <v>25</v>
      </c>
      <c r="F79" s="24" t="n">
        <v>0.03</v>
      </c>
      <c r="G79" s="25" t="n">
        <v>1</v>
      </c>
      <c r="H79" s="24" t="n">
        <v>12.15</v>
      </c>
      <c r="I79" s="25" t="n">
        <v>21</v>
      </c>
      <c r="J79" s="24" t="n">
        <v>0</v>
      </c>
      <c r="K79" s="26" t="n">
        <f aca="false">MAX(0,MIN(Instellingen!$B$8*MIN(F79,Instellingen!$B$4*G79),MIN(H79,Instellingen!$B$4*I79)/Instellingen!$B$8))</f>
        <v>0.0284604989415154</v>
      </c>
      <c r="L79" s="26" t="str">
        <f aca="false">IF($E79="Winter",$K79,"")</f>
        <v/>
      </c>
      <c r="M79" s="26" t="str">
        <f aca="false">IF($E79="Lente",$K79,"")</f>
        <v/>
      </c>
      <c r="N79" s="26" t="str">
        <f aca="false">IF($E79="Zomer",$K79,"")</f>
        <v/>
      </c>
      <c r="O79" s="26" t="n">
        <f aca="false">IF($E79="Herfst",$K79,"")</f>
        <v>0.0284604989415154</v>
      </c>
    </row>
    <row r="80" customFormat="false" ht="15" hidden="false" customHeight="true" outlineLevel="0" collapsed="false">
      <c r="A80" s="23" t="n">
        <v>45976</v>
      </c>
      <c r="B80" s="24" t="n">
        <v>9.12</v>
      </c>
      <c r="C80" s="24" t="n">
        <v>0.16</v>
      </c>
      <c r="D80" s="24" t="n">
        <v>8.5</v>
      </c>
      <c r="E80" s="24" t="s">
        <v>25</v>
      </c>
      <c r="F80" s="24" t="n">
        <v>0.15</v>
      </c>
      <c r="G80" s="25" t="n">
        <v>2</v>
      </c>
      <c r="H80" s="24" t="n">
        <v>7.44</v>
      </c>
      <c r="I80" s="25" t="n">
        <v>22</v>
      </c>
      <c r="J80" s="24" t="n">
        <v>0.14</v>
      </c>
      <c r="K80" s="26" t="n">
        <f aca="false">MAX(0,MIN(Instellingen!$B$8*MIN(F80,Instellingen!$B$4*G80),MIN(H80,Instellingen!$B$4*I80)/Instellingen!$B$8))</f>
        <v>0.142302494707577</v>
      </c>
      <c r="L80" s="26" t="str">
        <f aca="false">IF($E80="Winter",$K80,"")</f>
        <v/>
      </c>
      <c r="M80" s="26" t="str">
        <f aca="false">IF($E80="Lente",$K80,"")</f>
        <v/>
      </c>
      <c r="N80" s="26" t="str">
        <f aca="false">IF($E80="Zomer",$K80,"")</f>
        <v/>
      </c>
      <c r="O80" s="26" t="n">
        <f aca="false">IF($E80="Herfst",$K80,"")</f>
        <v>0.142302494707577</v>
      </c>
    </row>
    <row r="81" customFormat="false" ht="15" hidden="false" customHeight="true" outlineLevel="0" collapsed="false">
      <c r="A81" s="23" t="n">
        <v>45977</v>
      </c>
      <c r="B81" s="24" t="n">
        <v>11.52</v>
      </c>
      <c r="C81" s="24" t="n">
        <v>0.25</v>
      </c>
      <c r="D81" s="24" t="n">
        <v>11.49</v>
      </c>
      <c r="E81" s="24" t="s">
        <v>25</v>
      </c>
      <c r="F81" s="24" t="n">
        <v>0.25</v>
      </c>
      <c r="G81" s="25" t="n">
        <v>3</v>
      </c>
      <c r="H81" s="24" t="n">
        <v>12.09</v>
      </c>
      <c r="I81" s="25" t="n">
        <v>19</v>
      </c>
      <c r="J81" s="24" t="n">
        <v>0.23</v>
      </c>
      <c r="K81" s="26" t="n">
        <f aca="false">MAX(0,MIN(Instellingen!$B$8*MIN(F81,Instellingen!$B$4*G81),MIN(H81,Instellingen!$B$4*I81)/Instellingen!$B$8))</f>
        <v>0.237170824512628</v>
      </c>
      <c r="L81" s="26" t="str">
        <f aca="false">IF($E81="Winter",$K81,"")</f>
        <v/>
      </c>
      <c r="M81" s="26" t="str">
        <f aca="false">IF($E81="Lente",$K81,"")</f>
        <v/>
      </c>
      <c r="N81" s="26" t="str">
        <f aca="false">IF($E81="Zomer",$K81,"")</f>
        <v/>
      </c>
      <c r="O81" s="26" t="n">
        <f aca="false">IF($E81="Herfst",$K81,"")</f>
        <v>0.237170824512628</v>
      </c>
    </row>
    <row r="82" customFormat="false" ht="15" hidden="false" customHeight="true" outlineLevel="0" collapsed="false">
      <c r="A82" s="23" t="n">
        <v>45978</v>
      </c>
      <c r="B82" s="24" t="n">
        <v>14.56</v>
      </c>
      <c r="C82" s="24" t="n">
        <v>7.62</v>
      </c>
      <c r="D82" s="24" t="n">
        <v>13.88</v>
      </c>
      <c r="E82" s="24" t="s">
        <v>25</v>
      </c>
      <c r="F82" s="24" t="n">
        <v>7.62</v>
      </c>
      <c r="G82" s="25" t="n">
        <v>7</v>
      </c>
      <c r="H82" s="24" t="n">
        <v>13.94</v>
      </c>
      <c r="I82" s="25" t="n">
        <v>18</v>
      </c>
      <c r="J82" s="24" t="n">
        <v>7.15</v>
      </c>
      <c r="K82" s="26" t="n">
        <f aca="false">MAX(0,MIN(Instellingen!$B$8*MIN(F82,Instellingen!$B$4*G82),MIN(H82,Instellingen!$B$4*I82)/Instellingen!$B$8))</f>
        <v>7.22896673114492</v>
      </c>
      <c r="L82" s="26" t="str">
        <f aca="false">IF($E82="Winter",$K82,"")</f>
        <v/>
      </c>
      <c r="M82" s="26" t="str">
        <f aca="false">IF($E82="Lente",$K82,"")</f>
        <v/>
      </c>
      <c r="N82" s="26" t="str">
        <f aca="false">IF($E82="Zomer",$K82,"")</f>
        <v/>
      </c>
      <c r="O82" s="26" t="n">
        <f aca="false">IF($E82="Herfst",$K82,"")</f>
        <v>7.22896673114492</v>
      </c>
    </row>
    <row r="83" customFormat="false" ht="15" hidden="false" customHeight="true" outlineLevel="0" collapsed="false">
      <c r="A83" s="23" t="n">
        <v>45979</v>
      </c>
      <c r="B83" s="24" t="n">
        <v>9.76</v>
      </c>
      <c r="C83" s="24" t="n">
        <v>2.29</v>
      </c>
      <c r="D83" s="24" t="n">
        <v>8.49</v>
      </c>
      <c r="E83" s="24" t="s">
        <v>25</v>
      </c>
      <c r="F83" s="24" t="n">
        <v>2.28</v>
      </c>
      <c r="G83" s="25" t="n">
        <v>6</v>
      </c>
      <c r="H83" s="24" t="n">
        <v>16.97</v>
      </c>
      <c r="I83" s="25" t="n">
        <v>20</v>
      </c>
      <c r="J83" s="24" t="n">
        <v>2.14</v>
      </c>
      <c r="K83" s="26" t="n">
        <f aca="false">MAX(0,MIN(Instellingen!$B$8*MIN(F83,Instellingen!$B$4*G83),MIN(H83,Instellingen!$B$4*I83)/Instellingen!$B$8))</f>
        <v>2.16299791955517</v>
      </c>
      <c r="L83" s="26" t="str">
        <f aca="false">IF($E83="Winter",$K83,"")</f>
        <v/>
      </c>
      <c r="M83" s="26" t="str">
        <f aca="false">IF($E83="Lente",$K83,"")</f>
        <v/>
      </c>
      <c r="N83" s="26" t="str">
        <f aca="false">IF($E83="Zomer",$K83,"")</f>
        <v/>
      </c>
      <c r="O83" s="26" t="n">
        <f aca="false">IF($E83="Herfst",$K83,"")</f>
        <v>2.16299791955517</v>
      </c>
    </row>
    <row r="84" customFormat="false" ht="15" hidden="false" customHeight="true" outlineLevel="0" collapsed="false">
      <c r="A84" s="23" t="n">
        <v>45980</v>
      </c>
      <c r="B84" s="24" t="n">
        <v>43.87</v>
      </c>
      <c r="C84" s="24" t="n">
        <v>0</v>
      </c>
      <c r="D84" s="24" t="n">
        <v>43.87</v>
      </c>
      <c r="E84" s="24" t="s">
        <v>25</v>
      </c>
      <c r="F84" s="24" t="n">
        <v>0</v>
      </c>
      <c r="G84" s="25" t="n">
        <v>0</v>
      </c>
      <c r="H84" s="24" t="n">
        <v>0</v>
      </c>
      <c r="I84" s="25" t="n">
        <v>0</v>
      </c>
      <c r="J84" s="24" t="n">
        <v>0</v>
      </c>
      <c r="K84" s="26" t="n">
        <f aca="false">MAX(0,MIN(Instellingen!$B$8*MIN(F84,Instellingen!$B$4*G84),MIN(H84,Instellingen!$B$4*I84)/Instellingen!$B$8))</f>
        <v>0</v>
      </c>
      <c r="L84" s="26" t="str">
        <f aca="false">IF($E84="Winter",$K84,"")</f>
        <v/>
      </c>
      <c r="M84" s="26" t="str">
        <f aca="false">IF($E84="Lente",$K84,"")</f>
        <v/>
      </c>
      <c r="N84" s="26" t="str">
        <f aca="false">IF($E84="Zomer",$K84,"")</f>
        <v/>
      </c>
      <c r="O84" s="26" t="n">
        <f aca="false">IF($E84="Herfst",$K84,"")</f>
        <v>0</v>
      </c>
    </row>
    <row r="85" customFormat="false" ht="15" hidden="false" customHeight="true" outlineLevel="0" collapsed="false">
      <c r="A85" s="23" t="n">
        <v>45981</v>
      </c>
      <c r="B85" s="24" t="n">
        <v>11.99</v>
      </c>
      <c r="C85" s="24" t="n">
        <v>2.15</v>
      </c>
      <c r="D85" s="24" t="n">
        <v>11.96</v>
      </c>
      <c r="E85" s="24" t="s">
        <v>25</v>
      </c>
      <c r="F85" s="24" t="n">
        <v>2.15</v>
      </c>
      <c r="G85" s="25" t="n">
        <v>3</v>
      </c>
      <c r="H85" s="24" t="n">
        <v>6.97</v>
      </c>
      <c r="I85" s="25" t="n">
        <v>23</v>
      </c>
      <c r="J85" s="24" t="n">
        <v>2.02</v>
      </c>
      <c r="K85" s="26" t="n">
        <f aca="false">MAX(0,MIN(Instellingen!$B$8*MIN(F85,Instellingen!$B$4*G85),MIN(H85,Instellingen!$B$4*I85)/Instellingen!$B$8))</f>
        <v>2.0396690908086</v>
      </c>
      <c r="L85" s="26" t="str">
        <f aca="false">IF($E85="Winter",$K85,"")</f>
        <v/>
      </c>
      <c r="M85" s="26" t="str">
        <f aca="false">IF($E85="Lente",$K85,"")</f>
        <v/>
      </c>
      <c r="N85" s="26" t="str">
        <f aca="false">IF($E85="Zomer",$K85,"")</f>
        <v/>
      </c>
      <c r="O85" s="26" t="n">
        <f aca="false">IF($E85="Herfst",$K85,"")</f>
        <v>2.0396690908086</v>
      </c>
    </row>
    <row r="86" customFormat="false" ht="15" hidden="false" customHeight="true" outlineLevel="0" collapsed="false">
      <c r="A86" s="23" t="n">
        <v>45982</v>
      </c>
      <c r="B86" s="24" t="n">
        <v>28.65</v>
      </c>
      <c r="C86" s="24" t="n">
        <v>5.77</v>
      </c>
      <c r="D86" s="24" t="n">
        <v>23.99</v>
      </c>
      <c r="E86" s="24" t="s">
        <v>25</v>
      </c>
      <c r="F86" s="24" t="n">
        <v>5.77</v>
      </c>
      <c r="G86" s="25" t="n">
        <v>3</v>
      </c>
      <c r="H86" s="24" t="n">
        <v>28.6</v>
      </c>
      <c r="I86" s="25" t="n">
        <v>17</v>
      </c>
      <c r="J86" s="24" t="n">
        <v>3.46</v>
      </c>
      <c r="K86" s="26" t="n">
        <f aca="false">MAX(0,MIN(Instellingen!$B$8*MIN(F86,Instellingen!$B$4*G86),MIN(H86,Instellingen!$B$4*I86)/Instellingen!$B$8))</f>
        <v>5.47390262975146</v>
      </c>
      <c r="L86" s="26" t="str">
        <f aca="false">IF($E86="Winter",$K86,"")</f>
        <v/>
      </c>
      <c r="M86" s="26" t="str">
        <f aca="false">IF($E86="Lente",$K86,"")</f>
        <v/>
      </c>
      <c r="N86" s="26" t="str">
        <f aca="false">IF($E86="Zomer",$K86,"")</f>
        <v/>
      </c>
      <c r="O86" s="26" t="n">
        <f aca="false">IF($E86="Herfst",$K86,"")</f>
        <v>5.47390262975146</v>
      </c>
    </row>
    <row r="87" customFormat="false" ht="15" hidden="false" customHeight="true" outlineLevel="0" collapsed="false">
      <c r="A87" s="23" t="n">
        <v>45983</v>
      </c>
      <c r="B87" s="24" t="n">
        <v>13.35</v>
      </c>
      <c r="C87" s="24" t="n">
        <v>0.98</v>
      </c>
      <c r="D87" s="24" t="n">
        <v>11.01</v>
      </c>
      <c r="E87" s="24" t="s">
        <v>25</v>
      </c>
      <c r="F87" s="24" t="n">
        <v>0.98</v>
      </c>
      <c r="G87" s="25" t="n">
        <v>6</v>
      </c>
      <c r="H87" s="24" t="n">
        <v>8.67</v>
      </c>
      <c r="I87" s="25" t="n">
        <v>19</v>
      </c>
      <c r="J87" s="24" t="n">
        <v>0.92</v>
      </c>
      <c r="K87" s="26" t="n">
        <f aca="false">MAX(0,MIN(Instellingen!$B$8*MIN(F87,Instellingen!$B$4*G87),MIN(H87,Instellingen!$B$4*I87)/Instellingen!$B$8))</f>
        <v>0.929709632089504</v>
      </c>
      <c r="L87" s="26" t="str">
        <f aca="false">IF($E87="Winter",$K87,"")</f>
        <v/>
      </c>
      <c r="M87" s="26" t="str">
        <f aca="false">IF($E87="Lente",$K87,"")</f>
        <v/>
      </c>
      <c r="N87" s="26" t="str">
        <f aca="false">IF($E87="Zomer",$K87,"")</f>
        <v/>
      </c>
      <c r="O87" s="26" t="n">
        <f aca="false">IF($E87="Herfst",$K87,"")</f>
        <v>0.929709632089504</v>
      </c>
    </row>
    <row r="88" customFormat="false" ht="15" hidden="false" customHeight="true" outlineLevel="0" collapsed="false">
      <c r="A88" s="23" t="n">
        <v>45984</v>
      </c>
      <c r="B88" s="24" t="n">
        <v>19.7</v>
      </c>
      <c r="C88" s="24" t="n">
        <v>0.66</v>
      </c>
      <c r="D88" s="24" t="n">
        <v>19.55</v>
      </c>
      <c r="E88" s="24" t="s">
        <v>25</v>
      </c>
      <c r="F88" s="24" t="n">
        <v>0.66</v>
      </c>
      <c r="G88" s="25" t="n">
        <v>4</v>
      </c>
      <c r="H88" s="24" t="n">
        <v>23.45</v>
      </c>
      <c r="I88" s="25" t="n">
        <v>20</v>
      </c>
      <c r="J88" s="24" t="n">
        <v>0.62</v>
      </c>
      <c r="K88" s="26" t="n">
        <f aca="false">MAX(0,MIN(Instellingen!$B$8*MIN(F88,Instellingen!$B$4*G88),MIN(H88,Instellingen!$B$4*I88)/Instellingen!$B$8))</f>
        <v>0.626130976713339</v>
      </c>
      <c r="L88" s="26" t="str">
        <f aca="false">IF($E88="Winter",$K88,"")</f>
        <v/>
      </c>
      <c r="M88" s="26" t="str">
        <f aca="false">IF($E88="Lente",$K88,"")</f>
        <v/>
      </c>
      <c r="N88" s="26" t="str">
        <f aca="false">IF($E88="Zomer",$K88,"")</f>
        <v/>
      </c>
      <c r="O88" s="26" t="n">
        <f aca="false">IF($E88="Herfst",$K88,"")</f>
        <v>0.626130976713339</v>
      </c>
    </row>
    <row r="89" customFormat="false" ht="15" hidden="false" customHeight="true" outlineLevel="0" collapsed="false">
      <c r="A89" s="23" t="n">
        <v>45985</v>
      </c>
      <c r="B89" s="24" t="n">
        <v>27.15</v>
      </c>
      <c r="C89" s="24" t="n">
        <v>1.97</v>
      </c>
      <c r="D89" s="24" t="n">
        <v>26.25</v>
      </c>
      <c r="E89" s="24" t="s">
        <v>25</v>
      </c>
      <c r="F89" s="24" t="n">
        <v>1.97</v>
      </c>
      <c r="G89" s="25" t="n">
        <v>6</v>
      </c>
      <c r="H89" s="24" t="n">
        <v>25.23</v>
      </c>
      <c r="I89" s="25" t="n">
        <v>19</v>
      </c>
      <c r="J89" s="24" t="n">
        <v>1.85</v>
      </c>
      <c r="K89" s="26" t="n">
        <f aca="false">MAX(0,MIN(Instellingen!$B$8*MIN(F89,Instellingen!$B$4*G89),MIN(H89,Instellingen!$B$4*I89)/Instellingen!$B$8))</f>
        <v>1.86890609715951</v>
      </c>
      <c r="L89" s="26" t="str">
        <f aca="false">IF($E89="Winter",$K89,"")</f>
        <v/>
      </c>
      <c r="M89" s="26" t="str">
        <f aca="false">IF($E89="Lente",$K89,"")</f>
        <v/>
      </c>
      <c r="N89" s="26" t="str">
        <f aca="false">IF($E89="Zomer",$K89,"")</f>
        <v/>
      </c>
      <c r="O89" s="26" t="n">
        <f aca="false">IF($E89="Herfst",$K89,"")</f>
        <v>1.86890609715951</v>
      </c>
    </row>
    <row r="90" customFormat="false" ht="15" hidden="false" customHeight="true" outlineLevel="0" collapsed="false">
      <c r="A90" s="23" t="n">
        <v>45986</v>
      </c>
      <c r="B90" s="24" t="n">
        <v>18.61</v>
      </c>
      <c r="C90" s="24" t="n">
        <v>1.29</v>
      </c>
      <c r="D90" s="24" t="n">
        <v>18.27</v>
      </c>
      <c r="E90" s="24" t="s">
        <v>25</v>
      </c>
      <c r="F90" s="24" t="n">
        <v>1.29</v>
      </c>
      <c r="G90" s="25" t="n">
        <v>4</v>
      </c>
      <c r="H90" s="24" t="n">
        <v>15.75</v>
      </c>
      <c r="I90" s="25" t="n">
        <v>18</v>
      </c>
      <c r="J90" s="24" t="n">
        <v>1.21</v>
      </c>
      <c r="K90" s="26" t="n">
        <f aca="false">MAX(0,MIN(Instellingen!$B$8*MIN(F90,Instellingen!$B$4*G90),MIN(H90,Instellingen!$B$4*I90)/Instellingen!$B$8))</f>
        <v>1.22380145448516</v>
      </c>
      <c r="L90" s="26" t="str">
        <f aca="false">IF($E90="Winter",$K90,"")</f>
        <v/>
      </c>
      <c r="M90" s="26" t="str">
        <f aca="false">IF($E90="Lente",$K90,"")</f>
        <v/>
      </c>
      <c r="N90" s="26" t="str">
        <f aca="false">IF($E90="Zomer",$K90,"")</f>
        <v/>
      </c>
      <c r="O90" s="26" t="n">
        <f aca="false">IF($E90="Herfst",$K90,"")</f>
        <v>1.22380145448516</v>
      </c>
    </row>
    <row r="91" customFormat="false" ht="15" hidden="false" customHeight="true" outlineLevel="0" collapsed="false">
      <c r="A91" s="23" t="n">
        <v>45987</v>
      </c>
      <c r="B91" s="24" t="n">
        <v>2.83</v>
      </c>
      <c r="C91" s="24" t="n">
        <v>1.34</v>
      </c>
      <c r="D91" s="24" t="n">
        <v>2.62</v>
      </c>
      <c r="E91" s="24" t="s">
        <v>25</v>
      </c>
      <c r="F91" s="24" t="n">
        <v>1.34</v>
      </c>
      <c r="G91" s="25" t="n">
        <v>5</v>
      </c>
      <c r="H91" s="24" t="n">
        <v>0</v>
      </c>
      <c r="I91" s="25" t="n">
        <v>22</v>
      </c>
      <c r="J91" s="24" t="n">
        <v>0</v>
      </c>
      <c r="K91" s="26" t="n">
        <f aca="false">MAX(0,MIN(Instellingen!$B$8*MIN(F91,Instellingen!$B$4*G91),MIN(H91,Instellingen!$B$4*I91)/Instellingen!$B$8))</f>
        <v>0</v>
      </c>
      <c r="L91" s="26" t="str">
        <f aca="false">IF($E91="Winter",$K91,"")</f>
        <v/>
      </c>
      <c r="M91" s="26" t="str">
        <f aca="false">IF($E91="Lente",$K91,"")</f>
        <v/>
      </c>
      <c r="N91" s="26" t="str">
        <f aca="false">IF($E91="Zomer",$K91,"")</f>
        <v/>
      </c>
      <c r="O91" s="26" t="n">
        <f aca="false">IF($E91="Herfst",$K91,"")</f>
        <v>0</v>
      </c>
    </row>
    <row r="92" customFormat="false" ht="15" hidden="false" customHeight="true" outlineLevel="0" collapsed="false">
      <c r="A92" s="23" t="n">
        <v>45988</v>
      </c>
      <c r="B92" s="24" t="n">
        <v>0</v>
      </c>
      <c r="C92" s="24" t="n">
        <v>0</v>
      </c>
      <c r="D92" s="24" t="n">
        <v>0</v>
      </c>
      <c r="E92" s="24" t="s">
        <v>25</v>
      </c>
      <c r="F92" s="24" t="n">
        <v>0</v>
      </c>
      <c r="G92" s="25" t="n">
        <v>0</v>
      </c>
      <c r="H92" s="24" t="n">
        <v>0</v>
      </c>
      <c r="I92" s="25" t="n">
        <v>0</v>
      </c>
      <c r="J92" s="24" t="n">
        <v>0</v>
      </c>
      <c r="K92" s="26" t="n">
        <f aca="false">MAX(0,MIN(Instellingen!$B$8*MIN(F92,Instellingen!$B$4*G92),MIN(H92,Instellingen!$B$4*I92)/Instellingen!$B$8))</f>
        <v>0</v>
      </c>
      <c r="L92" s="26" t="str">
        <f aca="false">IF($E92="Winter",$K92,"")</f>
        <v/>
      </c>
      <c r="M92" s="26" t="str">
        <f aca="false">IF($E92="Lente",$K92,"")</f>
        <v/>
      </c>
      <c r="N92" s="26" t="str">
        <f aca="false">IF($E92="Zomer",$K92,"")</f>
        <v/>
      </c>
      <c r="O92" s="26" t="n">
        <f aca="false">IF($E92="Herfst",$K92,"")</f>
        <v>0</v>
      </c>
    </row>
    <row r="93" customFormat="false" ht="15" hidden="false" customHeight="true" outlineLevel="0" collapsed="false">
      <c r="A93" s="23" t="n">
        <v>45989</v>
      </c>
      <c r="B93" s="24" t="n">
        <v>0</v>
      </c>
      <c r="C93" s="24" t="n">
        <v>0</v>
      </c>
      <c r="D93" s="24" t="n">
        <v>0</v>
      </c>
      <c r="E93" s="24" t="s">
        <v>25</v>
      </c>
      <c r="F93" s="24" t="n">
        <v>0</v>
      </c>
      <c r="G93" s="25" t="n">
        <v>0</v>
      </c>
      <c r="H93" s="24" t="n">
        <v>0</v>
      </c>
      <c r="I93" s="25" t="n">
        <v>0</v>
      </c>
      <c r="J93" s="24" t="n">
        <v>0</v>
      </c>
      <c r="K93" s="26" t="n">
        <f aca="false">MAX(0,MIN(Instellingen!$B$8*MIN(F93,Instellingen!$B$4*G93),MIN(H93,Instellingen!$B$4*I93)/Instellingen!$B$8))</f>
        <v>0</v>
      </c>
      <c r="L93" s="26" t="str">
        <f aca="false">IF($E93="Winter",$K93,"")</f>
        <v/>
      </c>
      <c r="M93" s="26" t="str">
        <f aca="false">IF($E93="Lente",$K93,"")</f>
        <v/>
      </c>
      <c r="N93" s="26" t="str">
        <f aca="false">IF($E93="Zomer",$K93,"")</f>
        <v/>
      </c>
      <c r="O93" s="26" t="n">
        <f aca="false">IF($E93="Herfst",$K93,"")</f>
        <v>0</v>
      </c>
    </row>
    <row r="94" customFormat="false" ht="15" hidden="false" customHeight="true" outlineLevel="0" collapsed="false">
      <c r="A94" s="23" t="n">
        <v>45990</v>
      </c>
      <c r="B94" s="24" t="n">
        <v>0</v>
      </c>
      <c r="C94" s="24" t="n">
        <v>0</v>
      </c>
      <c r="D94" s="24" t="n">
        <v>0</v>
      </c>
      <c r="E94" s="24" t="s">
        <v>25</v>
      </c>
      <c r="F94" s="24" t="n">
        <v>0</v>
      </c>
      <c r="G94" s="25" t="n">
        <v>0</v>
      </c>
      <c r="H94" s="24" t="n">
        <v>0</v>
      </c>
      <c r="I94" s="25" t="n">
        <v>0</v>
      </c>
      <c r="J94" s="24" t="n">
        <v>0</v>
      </c>
      <c r="K94" s="26" t="n">
        <f aca="false">MAX(0,MIN(Instellingen!$B$8*MIN(F94,Instellingen!$B$4*G94),MIN(H94,Instellingen!$B$4*I94)/Instellingen!$B$8))</f>
        <v>0</v>
      </c>
      <c r="L94" s="26" t="str">
        <f aca="false">IF($E94="Winter",$K94,"")</f>
        <v/>
      </c>
      <c r="M94" s="26" t="str">
        <f aca="false">IF($E94="Lente",$K94,"")</f>
        <v/>
      </c>
      <c r="N94" s="26" t="str">
        <f aca="false">IF($E94="Zomer",$K94,"")</f>
        <v/>
      </c>
      <c r="O94" s="26" t="n">
        <f aca="false">IF($E94="Herfst",$K94,"")</f>
        <v>0</v>
      </c>
    </row>
    <row r="95" customFormat="false" ht="15" hidden="false" customHeight="true" outlineLevel="0" collapsed="false">
      <c r="A95" s="23" t="n">
        <v>45991</v>
      </c>
      <c r="B95" s="24" t="n">
        <v>81.62</v>
      </c>
      <c r="C95" s="24" t="n">
        <v>3.59</v>
      </c>
      <c r="D95" s="24" t="n">
        <v>9.37</v>
      </c>
      <c r="E95" s="24" t="s">
        <v>25</v>
      </c>
      <c r="F95" s="24" t="n">
        <v>3.59</v>
      </c>
      <c r="G95" s="25" t="n">
        <v>4</v>
      </c>
      <c r="H95" s="24" t="n">
        <v>17.02</v>
      </c>
      <c r="I95" s="25" t="n">
        <v>20</v>
      </c>
      <c r="J95" s="24" t="n">
        <v>3.37</v>
      </c>
      <c r="K95" s="26" t="n">
        <f aca="false">MAX(0,MIN(Instellingen!$B$8*MIN(F95,Instellingen!$B$4*G95),MIN(H95,Instellingen!$B$4*I95)/Instellingen!$B$8))</f>
        <v>3.40577304000134</v>
      </c>
      <c r="L95" s="26" t="str">
        <f aca="false">IF($E95="Winter",$K95,"")</f>
        <v/>
      </c>
      <c r="M95" s="26" t="str">
        <f aca="false">IF($E95="Lente",$K95,"")</f>
        <v/>
      </c>
      <c r="N95" s="26" t="str">
        <f aca="false">IF($E95="Zomer",$K95,"")</f>
        <v/>
      </c>
      <c r="O95" s="26" t="n">
        <f aca="false">IF($E95="Herfst",$K95,"")</f>
        <v>3.40577304000134</v>
      </c>
    </row>
    <row r="96" customFormat="false" ht="15" hidden="false" customHeight="true" outlineLevel="0" collapsed="false">
      <c r="A96" s="23" t="n">
        <v>45992</v>
      </c>
      <c r="B96" s="24" t="n">
        <v>18.5</v>
      </c>
      <c r="C96" s="24" t="n">
        <v>0.18</v>
      </c>
      <c r="D96" s="24" t="n">
        <v>17.67</v>
      </c>
      <c r="E96" s="24" t="s">
        <v>21</v>
      </c>
      <c r="F96" s="24" t="n">
        <v>0.18</v>
      </c>
      <c r="G96" s="25" t="n">
        <v>3</v>
      </c>
      <c r="H96" s="24" t="n">
        <v>22.18</v>
      </c>
      <c r="I96" s="25" t="n">
        <v>22</v>
      </c>
      <c r="J96" s="24" t="n">
        <v>0.17</v>
      </c>
      <c r="K96" s="26" t="n">
        <f aca="false">MAX(0,MIN(Instellingen!$B$8*MIN(F96,Instellingen!$B$4*G96),MIN(H96,Instellingen!$B$4*I96)/Instellingen!$B$8))</f>
        <v>0.170762993649092</v>
      </c>
      <c r="L96" s="26" t="n">
        <f aca="false">IF($E96="Winter",$K96,"")</f>
        <v>0.170762993649092</v>
      </c>
      <c r="M96" s="26" t="str">
        <f aca="false">IF($E96="Lente",$K96,"")</f>
        <v/>
      </c>
      <c r="N96" s="26" t="str">
        <f aca="false">IF($E96="Zomer",$K96,"")</f>
        <v/>
      </c>
      <c r="O96" s="26" t="str">
        <f aca="false">IF($E96="Herfst",$K96,"")</f>
        <v/>
      </c>
    </row>
    <row r="97" customFormat="false" ht="15" hidden="false" customHeight="true" outlineLevel="0" collapsed="false">
      <c r="A97" s="23" t="n">
        <v>45993</v>
      </c>
      <c r="B97" s="24" t="n">
        <v>27.56</v>
      </c>
      <c r="C97" s="24" t="n">
        <v>0</v>
      </c>
      <c r="D97" s="24" t="n">
        <v>27.56</v>
      </c>
      <c r="E97" s="24" t="s">
        <v>21</v>
      </c>
      <c r="F97" s="24" t="n">
        <v>0</v>
      </c>
      <c r="G97" s="25" t="n">
        <v>0</v>
      </c>
      <c r="H97" s="24" t="n">
        <v>0</v>
      </c>
      <c r="I97" s="25" t="n">
        <v>0</v>
      </c>
      <c r="J97" s="24" t="n">
        <v>0</v>
      </c>
      <c r="K97" s="26" t="n">
        <f aca="false">MAX(0,MIN(Instellingen!$B$8*MIN(F97,Instellingen!$B$4*G97),MIN(H97,Instellingen!$B$4*I97)/Instellingen!$B$8))</f>
        <v>0</v>
      </c>
      <c r="L97" s="26" t="n">
        <f aca="false">IF($E97="Winter",$K97,"")</f>
        <v>0</v>
      </c>
      <c r="M97" s="26" t="str">
        <f aca="false">IF($E97="Lente",$K97,"")</f>
        <v/>
      </c>
      <c r="N97" s="26" t="str">
        <f aca="false">IF($E97="Zomer",$K97,"")</f>
        <v/>
      </c>
      <c r="O97" s="26" t="str">
        <f aca="false">IF($E97="Herfst",$K97,"")</f>
        <v/>
      </c>
    </row>
    <row r="98" customFormat="false" ht="15" hidden="false" customHeight="true" outlineLevel="0" collapsed="false">
      <c r="A98" s="23" t="n">
        <v>45994</v>
      </c>
      <c r="B98" s="24" t="n">
        <v>32.02</v>
      </c>
      <c r="C98" s="24" t="n">
        <v>0</v>
      </c>
      <c r="D98" s="24" t="n">
        <v>32.02</v>
      </c>
      <c r="E98" s="24" t="s">
        <v>21</v>
      </c>
      <c r="F98" s="24" t="n">
        <v>0</v>
      </c>
      <c r="G98" s="25" t="n">
        <v>0</v>
      </c>
      <c r="H98" s="24" t="n">
        <v>0</v>
      </c>
      <c r="I98" s="25" t="n">
        <v>0</v>
      </c>
      <c r="J98" s="24" t="n">
        <v>0</v>
      </c>
      <c r="K98" s="26" t="n">
        <f aca="false">MAX(0,MIN(Instellingen!$B$8*MIN(F98,Instellingen!$B$4*G98),MIN(H98,Instellingen!$B$4*I98)/Instellingen!$B$8))</f>
        <v>0</v>
      </c>
      <c r="L98" s="26" t="n">
        <f aca="false">IF($E98="Winter",$K98,"")</f>
        <v>0</v>
      </c>
      <c r="M98" s="26" t="str">
        <f aca="false">IF($E98="Lente",$K98,"")</f>
        <v/>
      </c>
      <c r="N98" s="26" t="str">
        <f aca="false">IF($E98="Zomer",$K98,"")</f>
        <v/>
      </c>
      <c r="O98" s="26" t="str">
        <f aca="false">IF($E98="Herfst",$K98,"")</f>
        <v/>
      </c>
    </row>
    <row r="99" customFormat="false" ht="15" hidden="false" customHeight="true" outlineLevel="0" collapsed="false">
      <c r="A99" s="23" t="n">
        <v>45995</v>
      </c>
      <c r="B99" s="24" t="n">
        <v>5.73</v>
      </c>
      <c r="C99" s="24" t="n">
        <v>1.42</v>
      </c>
      <c r="D99" s="24" t="n">
        <v>5.38</v>
      </c>
      <c r="E99" s="24" t="s">
        <v>21</v>
      </c>
      <c r="F99" s="24" t="n">
        <v>1.42</v>
      </c>
      <c r="G99" s="25" t="n">
        <v>3</v>
      </c>
      <c r="H99" s="24" t="n">
        <v>0</v>
      </c>
      <c r="I99" s="25" t="n">
        <v>23</v>
      </c>
      <c r="J99" s="24" t="n">
        <v>0</v>
      </c>
      <c r="K99" s="26" t="n">
        <f aca="false">MAX(0,MIN(Instellingen!$B$8*MIN(F99,Instellingen!$B$4*G99),MIN(H99,Instellingen!$B$4*I99)/Instellingen!$B$8))</f>
        <v>0</v>
      </c>
      <c r="L99" s="26" t="n">
        <f aca="false">IF($E99="Winter",$K99,"")</f>
        <v>0</v>
      </c>
      <c r="M99" s="26" t="str">
        <f aca="false">IF($E99="Lente",$K99,"")</f>
        <v/>
      </c>
      <c r="N99" s="26" t="str">
        <f aca="false">IF($E99="Zomer",$K99,"")</f>
        <v/>
      </c>
      <c r="O99" s="26" t="str">
        <f aca="false">IF($E99="Herfst",$K99,"")</f>
        <v/>
      </c>
    </row>
    <row r="100" customFormat="false" ht="15" hidden="false" customHeight="true" outlineLevel="0" collapsed="false">
      <c r="A100" s="23" t="n">
        <v>45996</v>
      </c>
      <c r="B100" s="24" t="n">
        <v>0</v>
      </c>
      <c r="C100" s="24" t="n">
        <v>0</v>
      </c>
      <c r="D100" s="24" t="n">
        <v>0</v>
      </c>
      <c r="E100" s="24" t="s">
        <v>21</v>
      </c>
      <c r="F100" s="24" t="n">
        <v>0</v>
      </c>
      <c r="G100" s="25" t="n">
        <v>0</v>
      </c>
      <c r="H100" s="24" t="n">
        <v>0</v>
      </c>
      <c r="I100" s="25" t="n">
        <v>0</v>
      </c>
      <c r="J100" s="24" t="n">
        <v>0</v>
      </c>
      <c r="K100" s="26" t="n">
        <f aca="false">MAX(0,MIN(Instellingen!$B$8*MIN(F100,Instellingen!$B$4*G100),MIN(H100,Instellingen!$B$4*I100)/Instellingen!$B$8))</f>
        <v>0</v>
      </c>
      <c r="L100" s="26" t="n">
        <f aca="false">IF($E100="Winter",$K100,"")</f>
        <v>0</v>
      </c>
      <c r="M100" s="26" t="str">
        <f aca="false">IF($E100="Lente",$K100,"")</f>
        <v/>
      </c>
      <c r="N100" s="26" t="str">
        <f aca="false">IF($E100="Zomer",$K100,"")</f>
        <v/>
      </c>
      <c r="O100" s="26" t="str">
        <f aca="false">IF($E100="Herfst",$K100,"")</f>
        <v/>
      </c>
    </row>
    <row r="101" customFormat="false" ht="15" hidden="false" customHeight="true" outlineLevel="0" collapsed="false">
      <c r="A101" s="23" t="n">
        <v>45997</v>
      </c>
      <c r="B101" s="24" t="n">
        <v>29.24</v>
      </c>
      <c r="C101" s="24" t="n">
        <v>2.75</v>
      </c>
      <c r="D101" s="24" t="n">
        <v>1</v>
      </c>
      <c r="E101" s="24" t="s">
        <v>21</v>
      </c>
      <c r="F101" s="24" t="n">
        <v>2.75</v>
      </c>
      <c r="G101" s="25" t="n">
        <v>1</v>
      </c>
      <c r="H101" s="24" t="n">
        <v>8.29</v>
      </c>
      <c r="I101" s="25" t="n">
        <v>15</v>
      </c>
      <c r="J101" s="24" t="n">
        <v>2.35</v>
      </c>
      <c r="K101" s="26" t="n">
        <f aca="false">MAX(0,MIN(Instellingen!$B$8*MIN(F101,Instellingen!$B$4*G101),MIN(H101,Instellingen!$B$4*I101)/Instellingen!$B$8))</f>
        <v>2.37170824512628</v>
      </c>
      <c r="L101" s="26" t="n">
        <f aca="false">IF($E101="Winter",$K101,"")</f>
        <v>2.37170824512628</v>
      </c>
      <c r="M101" s="26" t="str">
        <f aca="false">IF($E101="Lente",$K101,"")</f>
        <v/>
      </c>
      <c r="N101" s="26" t="str">
        <f aca="false">IF($E101="Zomer",$K101,"")</f>
        <v/>
      </c>
      <c r="O101" s="26" t="str">
        <f aca="false">IF($E101="Herfst",$K101,"")</f>
        <v/>
      </c>
    </row>
    <row r="102" customFormat="false" ht="15" hidden="false" customHeight="true" outlineLevel="0" collapsed="false">
      <c r="A102" s="23" t="n">
        <v>45998</v>
      </c>
      <c r="B102" s="24" t="n">
        <v>17.5</v>
      </c>
      <c r="C102" s="24" t="n">
        <v>0</v>
      </c>
      <c r="D102" s="24" t="n">
        <v>17.5</v>
      </c>
      <c r="E102" s="24" t="s">
        <v>21</v>
      </c>
      <c r="F102" s="24" t="n">
        <v>0</v>
      </c>
      <c r="G102" s="25" t="n">
        <v>0</v>
      </c>
      <c r="H102" s="24" t="n">
        <v>0</v>
      </c>
      <c r="I102" s="25" t="n">
        <v>0</v>
      </c>
      <c r="J102" s="24" t="n">
        <v>0</v>
      </c>
      <c r="K102" s="26" t="n">
        <f aca="false">MAX(0,MIN(Instellingen!$B$8*MIN(F102,Instellingen!$B$4*G102),MIN(H102,Instellingen!$B$4*I102)/Instellingen!$B$8))</f>
        <v>0</v>
      </c>
      <c r="L102" s="26" t="n">
        <f aca="false">IF($E102="Winter",$K102,"")</f>
        <v>0</v>
      </c>
      <c r="M102" s="26" t="str">
        <f aca="false">IF($E102="Lente",$K102,"")</f>
        <v/>
      </c>
      <c r="N102" s="26" t="str">
        <f aca="false">IF($E102="Zomer",$K102,"")</f>
        <v/>
      </c>
      <c r="O102" s="26" t="str">
        <f aca="false">IF($E102="Herfst",$K102,"")</f>
        <v/>
      </c>
    </row>
    <row r="103" customFormat="false" ht="15" hidden="false" customHeight="true" outlineLevel="0" collapsed="false">
      <c r="A103" s="23" t="n">
        <v>45999</v>
      </c>
      <c r="B103" s="24" t="n">
        <v>14.93</v>
      </c>
      <c r="C103" s="24" t="n">
        <v>0</v>
      </c>
      <c r="D103" s="24" t="n">
        <v>14.93</v>
      </c>
      <c r="E103" s="24" t="s">
        <v>21</v>
      </c>
      <c r="F103" s="24" t="n">
        <v>0</v>
      </c>
      <c r="G103" s="25" t="n">
        <v>0</v>
      </c>
      <c r="H103" s="24" t="n">
        <v>0</v>
      </c>
      <c r="I103" s="25" t="n">
        <v>0</v>
      </c>
      <c r="J103" s="24" t="n">
        <v>0</v>
      </c>
      <c r="K103" s="26" t="n">
        <f aca="false">MAX(0,MIN(Instellingen!$B$8*MIN(F103,Instellingen!$B$4*G103),MIN(H103,Instellingen!$B$4*I103)/Instellingen!$B$8))</f>
        <v>0</v>
      </c>
      <c r="L103" s="26" t="n">
        <f aca="false">IF($E103="Winter",$K103,"")</f>
        <v>0</v>
      </c>
      <c r="M103" s="26" t="str">
        <f aca="false">IF($E103="Lente",$K103,"")</f>
        <v/>
      </c>
      <c r="N103" s="26" t="str">
        <f aca="false">IF($E103="Zomer",$K103,"")</f>
        <v/>
      </c>
      <c r="O103" s="26" t="str">
        <f aca="false">IF($E103="Herfst",$K103,"")</f>
        <v/>
      </c>
    </row>
    <row r="104" customFormat="false" ht="15" hidden="false" customHeight="true" outlineLevel="0" collapsed="false">
      <c r="A104" s="23" t="n">
        <v>46000</v>
      </c>
      <c r="B104" s="24" t="n">
        <v>6.72</v>
      </c>
      <c r="C104" s="24" t="n">
        <v>0.11</v>
      </c>
      <c r="D104" s="24" t="n">
        <v>6.59</v>
      </c>
      <c r="E104" s="24" t="s">
        <v>21</v>
      </c>
      <c r="F104" s="24" t="n">
        <v>0.1</v>
      </c>
      <c r="G104" s="25" t="n">
        <v>1</v>
      </c>
      <c r="H104" s="24" t="n">
        <v>1.19</v>
      </c>
      <c r="I104" s="25" t="n">
        <v>23</v>
      </c>
      <c r="J104" s="24" t="n">
        <v>0.09</v>
      </c>
      <c r="K104" s="26" t="n">
        <f aca="false">MAX(0,MIN(Instellingen!$B$8*MIN(F104,Instellingen!$B$4*G104),MIN(H104,Instellingen!$B$4*I104)/Instellingen!$B$8))</f>
        <v>0.0948683298050514</v>
      </c>
      <c r="L104" s="26" t="n">
        <f aca="false">IF($E104="Winter",$K104,"")</f>
        <v>0.0948683298050514</v>
      </c>
      <c r="M104" s="26" t="str">
        <f aca="false">IF($E104="Lente",$K104,"")</f>
        <v/>
      </c>
      <c r="N104" s="26" t="str">
        <f aca="false">IF($E104="Zomer",$K104,"")</f>
        <v/>
      </c>
      <c r="O104" s="26" t="str">
        <f aca="false">IF($E104="Herfst",$K104,"")</f>
        <v/>
      </c>
    </row>
    <row r="105" customFormat="false" ht="15" hidden="false" customHeight="true" outlineLevel="0" collapsed="false">
      <c r="A105" s="23" t="n">
        <v>46001</v>
      </c>
      <c r="B105" s="24" t="n">
        <v>0</v>
      </c>
      <c r="C105" s="24" t="n">
        <v>0</v>
      </c>
      <c r="D105" s="24" t="n">
        <v>0</v>
      </c>
      <c r="E105" s="24" t="s">
        <v>21</v>
      </c>
      <c r="F105" s="24" t="n">
        <v>0</v>
      </c>
      <c r="G105" s="25" t="n">
        <v>0</v>
      </c>
      <c r="H105" s="24" t="n">
        <v>0</v>
      </c>
      <c r="I105" s="25" t="n">
        <v>0</v>
      </c>
      <c r="J105" s="24" t="n">
        <v>0</v>
      </c>
      <c r="K105" s="26" t="n">
        <f aca="false">MAX(0,MIN(Instellingen!$B$8*MIN(F105,Instellingen!$B$4*G105),MIN(H105,Instellingen!$B$4*I105)/Instellingen!$B$8))</f>
        <v>0</v>
      </c>
      <c r="L105" s="26" t="n">
        <f aca="false">IF($E105="Winter",$K105,"")</f>
        <v>0</v>
      </c>
      <c r="M105" s="26" t="str">
        <f aca="false">IF($E105="Lente",$K105,"")</f>
        <v/>
      </c>
      <c r="N105" s="26" t="str">
        <f aca="false">IF($E105="Zomer",$K105,"")</f>
        <v/>
      </c>
      <c r="O105" s="26" t="str">
        <f aca="false">IF($E105="Herfst",$K105,"")</f>
        <v/>
      </c>
    </row>
    <row r="106" customFormat="false" ht="15" hidden="false" customHeight="true" outlineLevel="0" collapsed="false">
      <c r="A106" s="23" t="n">
        <v>46002</v>
      </c>
      <c r="B106" s="24" t="n">
        <v>0</v>
      </c>
      <c r="C106" s="24" t="n">
        <v>0</v>
      </c>
      <c r="D106" s="24" t="n">
        <v>0</v>
      </c>
      <c r="E106" s="24" t="s">
        <v>21</v>
      </c>
      <c r="F106" s="24" t="n">
        <v>0</v>
      </c>
      <c r="G106" s="25" t="n">
        <v>0</v>
      </c>
      <c r="H106" s="24" t="n">
        <v>0</v>
      </c>
      <c r="I106" s="25" t="n">
        <v>0</v>
      </c>
      <c r="J106" s="24" t="n">
        <v>0</v>
      </c>
      <c r="K106" s="26" t="n">
        <f aca="false">MAX(0,MIN(Instellingen!$B$8*MIN(F106,Instellingen!$B$4*G106),MIN(H106,Instellingen!$B$4*I106)/Instellingen!$B$8))</f>
        <v>0</v>
      </c>
      <c r="L106" s="26" t="n">
        <f aca="false">IF($E106="Winter",$K106,"")</f>
        <v>0</v>
      </c>
      <c r="M106" s="26" t="str">
        <f aca="false">IF($E106="Lente",$K106,"")</f>
        <v/>
      </c>
      <c r="N106" s="26" t="str">
        <f aca="false">IF($E106="Zomer",$K106,"")</f>
        <v/>
      </c>
      <c r="O106" s="26" t="str">
        <f aca="false">IF($E106="Herfst",$K106,"")</f>
        <v/>
      </c>
    </row>
    <row r="107" customFormat="false" ht="15" hidden="false" customHeight="true" outlineLevel="0" collapsed="false">
      <c r="A107" s="23" t="n">
        <v>46003</v>
      </c>
      <c r="B107" s="24" t="n">
        <v>0</v>
      </c>
      <c r="C107" s="24" t="n">
        <v>0</v>
      </c>
      <c r="D107" s="24" t="n">
        <v>0</v>
      </c>
      <c r="E107" s="24" t="s">
        <v>21</v>
      </c>
      <c r="F107" s="24" t="n">
        <v>0</v>
      </c>
      <c r="G107" s="25" t="n">
        <v>0</v>
      </c>
      <c r="H107" s="24" t="n">
        <v>0</v>
      </c>
      <c r="I107" s="25" t="n">
        <v>0</v>
      </c>
      <c r="J107" s="24" t="n">
        <v>0</v>
      </c>
      <c r="K107" s="26" t="n">
        <f aca="false">MAX(0,MIN(Instellingen!$B$8*MIN(F107,Instellingen!$B$4*G107),MIN(H107,Instellingen!$B$4*I107)/Instellingen!$B$8))</f>
        <v>0</v>
      </c>
      <c r="L107" s="26" t="n">
        <f aca="false">IF($E107="Winter",$K107,"")</f>
        <v>0</v>
      </c>
      <c r="M107" s="26" t="str">
        <f aca="false">IF($E107="Lente",$K107,"")</f>
        <v/>
      </c>
      <c r="N107" s="26" t="str">
        <f aca="false">IF($E107="Zomer",$K107,"")</f>
        <v/>
      </c>
      <c r="O107" s="26" t="str">
        <f aca="false">IF($E107="Herfst",$K107,"")</f>
        <v/>
      </c>
    </row>
    <row r="108" customFormat="false" ht="15" hidden="false" customHeight="true" outlineLevel="0" collapsed="false">
      <c r="A108" s="23" t="n">
        <v>46004</v>
      </c>
      <c r="B108" s="24" t="n">
        <v>62.09</v>
      </c>
      <c r="C108" s="24" t="n">
        <v>4.01</v>
      </c>
      <c r="D108" s="24" t="n">
        <v>9.82</v>
      </c>
      <c r="E108" s="24" t="s">
        <v>21</v>
      </c>
      <c r="F108" s="24" t="n">
        <v>4.01</v>
      </c>
      <c r="G108" s="25" t="n">
        <v>1</v>
      </c>
      <c r="H108" s="24" t="n">
        <v>17.82</v>
      </c>
      <c r="I108" s="25" t="n">
        <v>20</v>
      </c>
      <c r="J108" s="24" t="n">
        <v>2.35</v>
      </c>
      <c r="K108" s="26" t="n">
        <f aca="false">MAX(0,MIN(Instellingen!$B$8*MIN(F108,Instellingen!$B$4*G108),MIN(H108,Instellingen!$B$4*I108)/Instellingen!$B$8))</f>
        <v>2.37170824512628</v>
      </c>
      <c r="L108" s="26" t="n">
        <f aca="false">IF($E108="Winter",$K108,"")</f>
        <v>2.37170824512628</v>
      </c>
      <c r="M108" s="26" t="str">
        <f aca="false">IF($E108="Lente",$K108,"")</f>
        <v/>
      </c>
      <c r="N108" s="26" t="str">
        <f aca="false">IF($E108="Zomer",$K108,"")</f>
        <v/>
      </c>
      <c r="O108" s="26" t="str">
        <f aca="false">IF($E108="Herfst",$K108,"")</f>
        <v/>
      </c>
    </row>
    <row r="109" customFormat="false" ht="15" hidden="false" customHeight="true" outlineLevel="0" collapsed="false">
      <c r="A109" s="23" t="n">
        <v>46005</v>
      </c>
      <c r="B109" s="24" t="n">
        <v>23.64</v>
      </c>
      <c r="C109" s="24" t="n">
        <v>0</v>
      </c>
      <c r="D109" s="24" t="n">
        <v>23.64</v>
      </c>
      <c r="E109" s="24" t="s">
        <v>21</v>
      </c>
      <c r="F109" s="24" t="n">
        <v>0</v>
      </c>
      <c r="G109" s="25" t="n">
        <v>0</v>
      </c>
      <c r="H109" s="24" t="n">
        <v>0</v>
      </c>
      <c r="I109" s="25" t="n">
        <v>0</v>
      </c>
      <c r="J109" s="24" t="n">
        <v>0</v>
      </c>
      <c r="K109" s="26" t="n">
        <f aca="false">MAX(0,MIN(Instellingen!$B$8*MIN(F109,Instellingen!$B$4*G109),MIN(H109,Instellingen!$B$4*I109)/Instellingen!$B$8))</f>
        <v>0</v>
      </c>
      <c r="L109" s="26" t="n">
        <f aca="false">IF($E109="Winter",$K109,"")</f>
        <v>0</v>
      </c>
      <c r="M109" s="26" t="str">
        <f aca="false">IF($E109="Lente",$K109,"")</f>
        <v/>
      </c>
      <c r="N109" s="26" t="str">
        <f aca="false">IF($E109="Zomer",$K109,"")</f>
        <v/>
      </c>
      <c r="O109" s="26" t="str">
        <f aca="false">IF($E109="Herfst",$K109,"")</f>
        <v/>
      </c>
    </row>
    <row r="110" customFormat="false" ht="15" hidden="false" customHeight="true" outlineLevel="0" collapsed="false">
      <c r="A110" s="23" t="n">
        <v>46006</v>
      </c>
      <c r="B110" s="24" t="n">
        <v>16.19</v>
      </c>
      <c r="C110" s="24" t="n">
        <v>0</v>
      </c>
      <c r="D110" s="24" t="n">
        <v>16.19</v>
      </c>
      <c r="E110" s="24" t="s">
        <v>21</v>
      </c>
      <c r="F110" s="24" t="n">
        <v>0</v>
      </c>
      <c r="G110" s="25" t="n">
        <v>0</v>
      </c>
      <c r="H110" s="24" t="n">
        <v>0</v>
      </c>
      <c r="I110" s="25" t="n">
        <v>0</v>
      </c>
      <c r="J110" s="24" t="n">
        <v>0</v>
      </c>
      <c r="K110" s="26" t="n">
        <f aca="false">MAX(0,MIN(Instellingen!$B$8*MIN(F110,Instellingen!$B$4*G110),MIN(H110,Instellingen!$B$4*I110)/Instellingen!$B$8))</f>
        <v>0</v>
      </c>
      <c r="L110" s="26" t="n">
        <f aca="false">IF($E110="Winter",$K110,"")</f>
        <v>0</v>
      </c>
      <c r="M110" s="26" t="str">
        <f aca="false">IF($E110="Lente",$K110,"")</f>
        <v/>
      </c>
      <c r="N110" s="26" t="str">
        <f aca="false">IF($E110="Zomer",$K110,"")</f>
        <v/>
      </c>
      <c r="O110" s="26" t="str">
        <f aca="false">IF($E110="Herfst",$K110,"")</f>
        <v/>
      </c>
    </row>
    <row r="111" customFormat="false" ht="15" hidden="false" customHeight="true" outlineLevel="0" collapsed="false">
      <c r="A111" s="23" t="n">
        <v>46007</v>
      </c>
      <c r="B111" s="24" t="n">
        <v>12.22</v>
      </c>
      <c r="C111" s="24" t="n">
        <v>2.7</v>
      </c>
      <c r="D111" s="24" t="n">
        <v>10.61</v>
      </c>
      <c r="E111" s="24" t="s">
        <v>21</v>
      </c>
      <c r="F111" s="24" t="n">
        <v>2.7</v>
      </c>
      <c r="G111" s="25" t="n">
        <v>6</v>
      </c>
      <c r="H111" s="24" t="n">
        <v>16.79</v>
      </c>
      <c r="I111" s="25" t="n">
        <v>20</v>
      </c>
      <c r="J111" s="24" t="n">
        <v>2.53</v>
      </c>
      <c r="K111" s="26" t="n">
        <f aca="false">MAX(0,MIN(Instellingen!$B$8*MIN(F111,Instellingen!$B$4*G111),MIN(H111,Instellingen!$B$4*I111)/Instellingen!$B$8))</f>
        <v>2.56144490473639</v>
      </c>
      <c r="L111" s="26" t="n">
        <f aca="false">IF($E111="Winter",$K111,"")</f>
        <v>2.56144490473639</v>
      </c>
      <c r="M111" s="26" t="str">
        <f aca="false">IF($E111="Lente",$K111,"")</f>
        <v/>
      </c>
      <c r="N111" s="26" t="str">
        <f aca="false">IF($E111="Zomer",$K111,"")</f>
        <v/>
      </c>
      <c r="O111" s="26" t="str">
        <f aca="false">IF($E111="Herfst",$K111,"")</f>
        <v/>
      </c>
    </row>
    <row r="112" customFormat="false" ht="15" hidden="false" customHeight="true" outlineLevel="0" collapsed="false">
      <c r="A112" s="23" t="n">
        <v>46008</v>
      </c>
      <c r="B112" s="24" t="n">
        <v>34.85</v>
      </c>
      <c r="C112" s="24" t="n">
        <v>0</v>
      </c>
      <c r="D112" s="24" t="n">
        <v>34.85</v>
      </c>
      <c r="E112" s="24" t="s">
        <v>21</v>
      </c>
      <c r="F112" s="24" t="n">
        <v>0</v>
      </c>
      <c r="G112" s="25" t="n">
        <v>0</v>
      </c>
      <c r="H112" s="24" t="n">
        <v>0</v>
      </c>
      <c r="I112" s="25" t="n">
        <v>0</v>
      </c>
      <c r="J112" s="24" t="n">
        <v>0</v>
      </c>
      <c r="K112" s="26" t="n">
        <f aca="false">MAX(0,MIN(Instellingen!$B$8*MIN(F112,Instellingen!$B$4*G112),MIN(H112,Instellingen!$B$4*I112)/Instellingen!$B$8))</f>
        <v>0</v>
      </c>
      <c r="L112" s="26" t="n">
        <f aca="false">IF($E112="Winter",$K112,"")</f>
        <v>0</v>
      </c>
      <c r="M112" s="26" t="str">
        <f aca="false">IF($E112="Lente",$K112,"")</f>
        <v/>
      </c>
      <c r="N112" s="26" t="str">
        <f aca="false">IF($E112="Zomer",$K112,"")</f>
        <v/>
      </c>
      <c r="O112" s="26" t="str">
        <f aca="false">IF($E112="Herfst",$K112,"")</f>
        <v/>
      </c>
    </row>
    <row r="113" customFormat="false" ht="15" hidden="false" customHeight="true" outlineLevel="0" collapsed="false">
      <c r="A113" s="23" t="n">
        <v>46009</v>
      </c>
      <c r="B113" s="24" t="n">
        <v>18.28</v>
      </c>
      <c r="C113" s="24" t="n">
        <v>0.42</v>
      </c>
      <c r="D113" s="24" t="n">
        <v>17.87</v>
      </c>
      <c r="E113" s="24" t="s">
        <v>21</v>
      </c>
      <c r="F113" s="24" t="n">
        <v>0.42</v>
      </c>
      <c r="G113" s="25" t="n">
        <v>5</v>
      </c>
      <c r="H113" s="24" t="n">
        <v>20.08</v>
      </c>
      <c r="I113" s="25" t="n">
        <v>20</v>
      </c>
      <c r="J113" s="24" t="n">
        <v>0.39</v>
      </c>
      <c r="K113" s="26" t="n">
        <f aca="false">MAX(0,MIN(Instellingen!$B$8*MIN(F113,Instellingen!$B$4*G113),MIN(H113,Instellingen!$B$4*I113)/Instellingen!$B$8))</f>
        <v>0.398446985181216</v>
      </c>
      <c r="L113" s="26" t="n">
        <f aca="false">IF($E113="Winter",$K113,"")</f>
        <v>0.398446985181216</v>
      </c>
      <c r="M113" s="26" t="str">
        <f aca="false">IF($E113="Lente",$K113,"")</f>
        <v/>
      </c>
      <c r="N113" s="26" t="str">
        <f aca="false">IF($E113="Zomer",$K113,"")</f>
        <v/>
      </c>
      <c r="O113" s="26" t="str">
        <f aca="false">IF($E113="Herfst",$K113,"")</f>
        <v/>
      </c>
    </row>
    <row r="114" customFormat="false" ht="15" hidden="false" customHeight="true" outlineLevel="0" collapsed="false">
      <c r="A114" s="23" t="n">
        <v>46010</v>
      </c>
      <c r="B114" s="24" t="n">
        <v>11.66</v>
      </c>
      <c r="C114" s="24" t="n">
        <v>1.59</v>
      </c>
      <c r="D114" s="24" t="n">
        <v>11.52</v>
      </c>
      <c r="E114" s="24" t="s">
        <v>21</v>
      </c>
      <c r="F114" s="24" t="n">
        <v>1.59</v>
      </c>
      <c r="G114" s="25" t="n">
        <v>4</v>
      </c>
      <c r="H114" s="24" t="n">
        <v>6.86</v>
      </c>
      <c r="I114" s="25" t="n">
        <v>20</v>
      </c>
      <c r="J114" s="24" t="n">
        <v>1.49</v>
      </c>
      <c r="K114" s="26" t="n">
        <f aca="false">MAX(0,MIN(Instellingen!$B$8*MIN(F114,Instellingen!$B$4*G114),MIN(H114,Instellingen!$B$4*I114)/Instellingen!$B$8))</f>
        <v>1.50840644390032</v>
      </c>
      <c r="L114" s="26" t="n">
        <f aca="false">IF($E114="Winter",$K114,"")</f>
        <v>1.50840644390032</v>
      </c>
      <c r="M114" s="26" t="str">
        <f aca="false">IF($E114="Lente",$K114,"")</f>
        <v/>
      </c>
      <c r="N114" s="26" t="str">
        <f aca="false">IF($E114="Zomer",$K114,"")</f>
        <v/>
      </c>
      <c r="O114" s="26" t="str">
        <f aca="false">IF($E114="Herfst",$K114,"")</f>
        <v/>
      </c>
    </row>
    <row r="115" customFormat="false" ht="15" hidden="false" customHeight="true" outlineLevel="0" collapsed="false">
      <c r="A115" s="23" t="n">
        <v>46011</v>
      </c>
      <c r="B115" s="24" t="n">
        <v>6.83</v>
      </c>
      <c r="C115" s="24" t="n">
        <v>0.41</v>
      </c>
      <c r="D115" s="24" t="n">
        <v>5.69</v>
      </c>
      <c r="E115" s="24" t="s">
        <v>21</v>
      </c>
      <c r="F115" s="24" t="n">
        <v>0.41</v>
      </c>
      <c r="G115" s="25" t="n">
        <v>4</v>
      </c>
      <c r="H115" s="24" t="n">
        <v>6.84</v>
      </c>
      <c r="I115" s="25" t="n">
        <v>21</v>
      </c>
      <c r="J115" s="24" t="n">
        <v>0.38</v>
      </c>
      <c r="K115" s="26" t="n">
        <f aca="false">MAX(0,MIN(Instellingen!$B$8*MIN(F115,Instellingen!$B$4*G115),MIN(H115,Instellingen!$B$4*I115)/Instellingen!$B$8))</f>
        <v>0.388960152200711</v>
      </c>
      <c r="L115" s="26" t="n">
        <f aca="false">IF($E115="Winter",$K115,"")</f>
        <v>0.388960152200711</v>
      </c>
      <c r="M115" s="26" t="str">
        <f aca="false">IF($E115="Lente",$K115,"")</f>
        <v/>
      </c>
      <c r="N115" s="26" t="str">
        <f aca="false">IF($E115="Zomer",$K115,"")</f>
        <v/>
      </c>
      <c r="O115" s="26" t="str">
        <f aca="false">IF($E115="Herfst",$K115,"")</f>
        <v/>
      </c>
    </row>
    <row r="116" customFormat="false" ht="15" hidden="false" customHeight="true" outlineLevel="0" collapsed="false">
      <c r="A116" s="23" t="n">
        <v>46012</v>
      </c>
      <c r="B116" s="24" t="n">
        <v>7.32</v>
      </c>
      <c r="C116" s="24" t="n">
        <v>1.91</v>
      </c>
      <c r="D116" s="24" t="n">
        <v>6.74</v>
      </c>
      <c r="E116" s="24" t="s">
        <v>21</v>
      </c>
      <c r="F116" s="24" t="n">
        <v>1.91</v>
      </c>
      <c r="G116" s="25" t="n">
        <v>4</v>
      </c>
      <c r="H116" s="24" t="n">
        <v>7.87</v>
      </c>
      <c r="I116" s="25" t="n">
        <v>19</v>
      </c>
      <c r="J116" s="24" t="n">
        <v>1.8</v>
      </c>
      <c r="K116" s="26" t="n">
        <f aca="false">MAX(0,MIN(Instellingen!$B$8*MIN(F116,Instellingen!$B$4*G116),MIN(H116,Instellingen!$B$4*I116)/Instellingen!$B$8))</f>
        <v>1.81198509927648</v>
      </c>
      <c r="L116" s="26" t="n">
        <f aca="false">IF($E116="Winter",$K116,"")</f>
        <v>1.81198509927648</v>
      </c>
      <c r="M116" s="26" t="str">
        <f aca="false">IF($E116="Lente",$K116,"")</f>
        <v/>
      </c>
      <c r="N116" s="26" t="str">
        <f aca="false">IF($E116="Zomer",$K116,"")</f>
        <v/>
      </c>
      <c r="O116" s="26" t="str">
        <f aca="false">IF($E116="Herfst",$K116,"")</f>
        <v/>
      </c>
    </row>
    <row r="117" customFormat="false" ht="15" hidden="false" customHeight="true" outlineLevel="0" collapsed="false">
      <c r="A117" s="23" t="n">
        <v>46013</v>
      </c>
      <c r="B117" s="24" t="n">
        <v>16.18</v>
      </c>
      <c r="C117" s="24" t="n">
        <v>0.28</v>
      </c>
      <c r="D117" s="24" t="n">
        <v>15.35</v>
      </c>
      <c r="E117" s="24" t="s">
        <v>21</v>
      </c>
      <c r="F117" s="24" t="n">
        <v>0.28</v>
      </c>
      <c r="G117" s="25" t="n">
        <v>2</v>
      </c>
      <c r="H117" s="24" t="n">
        <v>15.2</v>
      </c>
      <c r="I117" s="25" t="n">
        <v>23</v>
      </c>
      <c r="J117" s="24" t="n">
        <v>0.26</v>
      </c>
      <c r="K117" s="26" t="n">
        <f aca="false">MAX(0,MIN(Instellingen!$B$8*MIN(F117,Instellingen!$B$4*G117),MIN(H117,Instellingen!$B$4*I117)/Instellingen!$B$8))</f>
        <v>0.265631323454144</v>
      </c>
      <c r="L117" s="26" t="n">
        <f aca="false">IF($E117="Winter",$K117,"")</f>
        <v>0.265631323454144</v>
      </c>
      <c r="M117" s="26" t="str">
        <f aca="false">IF($E117="Lente",$K117,"")</f>
        <v/>
      </c>
      <c r="N117" s="26" t="str">
        <f aca="false">IF($E117="Zomer",$K117,"")</f>
        <v/>
      </c>
      <c r="O117" s="26" t="str">
        <f aca="false">IF($E117="Herfst",$K117,"")</f>
        <v/>
      </c>
    </row>
    <row r="118" customFormat="false" ht="15" hidden="false" customHeight="true" outlineLevel="0" collapsed="false">
      <c r="A118" s="23" t="n">
        <v>46014</v>
      </c>
      <c r="B118" s="24" t="n">
        <v>22.26</v>
      </c>
      <c r="C118" s="24" t="n">
        <v>0</v>
      </c>
      <c r="D118" s="24" t="n">
        <v>22.26</v>
      </c>
      <c r="E118" s="24" t="s">
        <v>21</v>
      </c>
      <c r="F118" s="24" t="n">
        <v>0</v>
      </c>
      <c r="G118" s="25" t="n">
        <v>0</v>
      </c>
      <c r="H118" s="24" t="n">
        <v>0</v>
      </c>
      <c r="I118" s="25" t="n">
        <v>0</v>
      </c>
      <c r="J118" s="24" t="n">
        <v>0</v>
      </c>
      <c r="K118" s="26" t="n">
        <f aca="false">MAX(0,MIN(Instellingen!$B$8*MIN(F118,Instellingen!$B$4*G118),MIN(H118,Instellingen!$B$4*I118)/Instellingen!$B$8))</f>
        <v>0</v>
      </c>
      <c r="L118" s="26" t="n">
        <f aca="false">IF($E118="Winter",$K118,"")</f>
        <v>0</v>
      </c>
      <c r="M118" s="26" t="str">
        <f aca="false">IF($E118="Lente",$K118,"")</f>
        <v/>
      </c>
      <c r="N118" s="26" t="str">
        <f aca="false">IF($E118="Zomer",$K118,"")</f>
        <v/>
      </c>
      <c r="O118" s="26" t="str">
        <f aca="false">IF($E118="Herfst",$K118,"")</f>
        <v/>
      </c>
    </row>
    <row r="119" customFormat="false" ht="15" hidden="false" customHeight="true" outlineLevel="0" collapsed="false">
      <c r="A119" s="23" t="n">
        <v>46015</v>
      </c>
      <c r="B119" s="24" t="n">
        <v>17.29</v>
      </c>
      <c r="C119" s="24" t="n">
        <v>2.02</v>
      </c>
      <c r="D119" s="24" t="n">
        <v>16.25</v>
      </c>
      <c r="E119" s="24" t="s">
        <v>21</v>
      </c>
      <c r="F119" s="24" t="n">
        <v>2.02</v>
      </c>
      <c r="G119" s="25" t="n">
        <v>5</v>
      </c>
      <c r="H119" s="24" t="n">
        <v>14.53</v>
      </c>
      <c r="I119" s="25" t="n">
        <v>18</v>
      </c>
      <c r="J119" s="24" t="n">
        <v>1.9</v>
      </c>
      <c r="K119" s="26" t="n">
        <f aca="false">MAX(0,MIN(Instellingen!$B$8*MIN(F119,Instellingen!$B$4*G119),MIN(H119,Instellingen!$B$4*I119)/Instellingen!$B$8))</f>
        <v>1.91634026206204</v>
      </c>
      <c r="L119" s="26" t="n">
        <f aca="false">IF($E119="Winter",$K119,"")</f>
        <v>1.91634026206204</v>
      </c>
      <c r="M119" s="26" t="str">
        <f aca="false">IF($E119="Lente",$K119,"")</f>
        <v/>
      </c>
      <c r="N119" s="26" t="str">
        <f aca="false">IF($E119="Zomer",$K119,"")</f>
        <v/>
      </c>
      <c r="O119" s="26" t="str">
        <f aca="false">IF($E119="Herfst",$K119,"")</f>
        <v/>
      </c>
    </row>
    <row r="120" customFormat="false" ht="15" hidden="false" customHeight="true" outlineLevel="0" collapsed="false">
      <c r="A120" s="23" t="n">
        <v>46016</v>
      </c>
      <c r="B120" s="24" t="n">
        <v>15.53</v>
      </c>
      <c r="C120" s="24" t="n">
        <v>4.22</v>
      </c>
      <c r="D120" s="24" t="n">
        <v>14.33</v>
      </c>
      <c r="E120" s="24" t="s">
        <v>21</v>
      </c>
      <c r="F120" s="24" t="n">
        <v>4.22</v>
      </c>
      <c r="G120" s="25" t="n">
        <v>6</v>
      </c>
      <c r="H120" s="24" t="n">
        <v>17.36</v>
      </c>
      <c r="I120" s="25" t="n">
        <v>20</v>
      </c>
      <c r="J120" s="24" t="n">
        <v>3.97</v>
      </c>
      <c r="K120" s="26" t="n">
        <f aca="false">MAX(0,MIN(Instellingen!$B$8*MIN(F120,Instellingen!$B$4*G120),MIN(H120,Instellingen!$B$4*I120)/Instellingen!$B$8))</f>
        <v>4.00344351777317</v>
      </c>
      <c r="L120" s="26" t="n">
        <f aca="false">IF($E120="Winter",$K120,"")</f>
        <v>4.00344351777317</v>
      </c>
      <c r="M120" s="26" t="str">
        <f aca="false">IF($E120="Lente",$K120,"")</f>
        <v/>
      </c>
      <c r="N120" s="26" t="str">
        <f aca="false">IF($E120="Zomer",$K120,"")</f>
        <v/>
      </c>
      <c r="O120" s="26" t="str">
        <f aca="false">IF($E120="Herfst",$K120,"")</f>
        <v/>
      </c>
    </row>
    <row r="121" customFormat="false" ht="15" hidden="false" customHeight="true" outlineLevel="0" collapsed="false">
      <c r="A121" s="23" t="n">
        <v>46017</v>
      </c>
      <c r="B121" s="24" t="n">
        <v>20.86</v>
      </c>
      <c r="C121" s="24" t="n">
        <v>2.6</v>
      </c>
      <c r="D121" s="24" t="n">
        <v>19.51</v>
      </c>
      <c r="E121" s="24" t="s">
        <v>21</v>
      </c>
      <c r="F121" s="24" t="n">
        <v>2.6</v>
      </c>
      <c r="G121" s="25" t="n">
        <v>4</v>
      </c>
      <c r="H121" s="24" t="n">
        <v>21.06</v>
      </c>
      <c r="I121" s="25" t="n">
        <v>20</v>
      </c>
      <c r="J121" s="24" t="n">
        <v>2.44</v>
      </c>
      <c r="K121" s="26" t="n">
        <f aca="false">MAX(0,MIN(Instellingen!$B$8*MIN(F121,Instellingen!$B$4*G121),MIN(H121,Instellingen!$B$4*I121)/Instellingen!$B$8))</f>
        <v>2.46657657493134</v>
      </c>
      <c r="L121" s="26" t="n">
        <f aca="false">IF($E121="Winter",$K121,"")</f>
        <v>2.46657657493134</v>
      </c>
      <c r="M121" s="26" t="str">
        <f aca="false">IF($E121="Lente",$K121,"")</f>
        <v/>
      </c>
      <c r="N121" s="26" t="str">
        <f aca="false">IF($E121="Zomer",$K121,"")</f>
        <v/>
      </c>
      <c r="O121" s="26" t="str">
        <f aca="false">IF($E121="Herfst",$K121,"")</f>
        <v/>
      </c>
    </row>
    <row r="122" customFormat="false" ht="15" hidden="false" customHeight="true" outlineLevel="0" collapsed="false">
      <c r="A122" s="23" t="n">
        <v>46018</v>
      </c>
      <c r="B122" s="24" t="n">
        <v>31.84</v>
      </c>
      <c r="C122" s="24" t="n">
        <v>0</v>
      </c>
      <c r="D122" s="24" t="n">
        <v>31.84</v>
      </c>
      <c r="E122" s="24" t="s">
        <v>21</v>
      </c>
      <c r="F122" s="24" t="n">
        <v>0</v>
      </c>
      <c r="G122" s="25" t="n">
        <v>0</v>
      </c>
      <c r="H122" s="24" t="n">
        <v>0</v>
      </c>
      <c r="I122" s="25" t="n">
        <v>0</v>
      </c>
      <c r="J122" s="24" t="n">
        <v>0</v>
      </c>
      <c r="K122" s="26" t="n">
        <f aca="false">MAX(0,MIN(Instellingen!$B$8*MIN(F122,Instellingen!$B$4*G122),MIN(H122,Instellingen!$B$4*I122)/Instellingen!$B$8))</f>
        <v>0</v>
      </c>
      <c r="L122" s="26" t="n">
        <f aca="false">IF($E122="Winter",$K122,"")</f>
        <v>0</v>
      </c>
      <c r="M122" s="26" t="str">
        <f aca="false">IF($E122="Lente",$K122,"")</f>
        <v/>
      </c>
      <c r="N122" s="26" t="str">
        <f aca="false">IF($E122="Zomer",$K122,"")</f>
        <v/>
      </c>
      <c r="O122" s="26" t="str">
        <f aca="false">IF($E122="Herfst",$K122,"")</f>
        <v/>
      </c>
    </row>
    <row r="123" customFormat="false" ht="15" hidden="false" customHeight="true" outlineLevel="0" collapsed="false">
      <c r="A123" s="23" t="n">
        <v>46019</v>
      </c>
      <c r="B123" s="24" t="n">
        <v>23.88</v>
      </c>
      <c r="C123" s="24" t="n">
        <v>2.38</v>
      </c>
      <c r="D123" s="24" t="n">
        <v>21.64</v>
      </c>
      <c r="E123" s="24" t="s">
        <v>21</v>
      </c>
      <c r="F123" s="24" t="n">
        <v>2.38</v>
      </c>
      <c r="G123" s="25" t="n">
        <v>5</v>
      </c>
      <c r="H123" s="24" t="n">
        <v>21.34</v>
      </c>
      <c r="I123" s="25" t="n">
        <v>20</v>
      </c>
      <c r="J123" s="24" t="n">
        <v>2.24</v>
      </c>
      <c r="K123" s="26" t="n">
        <f aca="false">MAX(0,MIN(Instellingen!$B$8*MIN(F123,Instellingen!$B$4*G123),MIN(H123,Instellingen!$B$4*I123)/Instellingen!$B$8))</f>
        <v>2.25786624936022</v>
      </c>
      <c r="L123" s="26" t="n">
        <f aca="false">IF($E123="Winter",$K123,"")</f>
        <v>2.25786624936022</v>
      </c>
      <c r="M123" s="26" t="str">
        <f aca="false">IF($E123="Lente",$K123,"")</f>
        <v/>
      </c>
      <c r="N123" s="26" t="str">
        <f aca="false">IF($E123="Zomer",$K123,"")</f>
        <v/>
      </c>
      <c r="O123" s="26" t="str">
        <f aca="false">IF($E123="Herfst",$K123,"")</f>
        <v/>
      </c>
    </row>
    <row r="124" customFormat="false" ht="15" hidden="false" customHeight="true" outlineLevel="0" collapsed="false">
      <c r="A124" s="23" t="n">
        <v>46020</v>
      </c>
      <c r="B124" s="24" t="n">
        <v>26.83</v>
      </c>
      <c r="C124" s="24" t="n">
        <v>0</v>
      </c>
      <c r="D124" s="24" t="n">
        <v>26.83</v>
      </c>
      <c r="E124" s="24" t="s">
        <v>21</v>
      </c>
      <c r="F124" s="24" t="n">
        <v>0</v>
      </c>
      <c r="G124" s="25" t="n">
        <v>0</v>
      </c>
      <c r="H124" s="24" t="n">
        <v>0</v>
      </c>
      <c r="I124" s="25" t="n">
        <v>0</v>
      </c>
      <c r="J124" s="24" t="n">
        <v>0</v>
      </c>
      <c r="K124" s="26" t="n">
        <f aca="false">MAX(0,MIN(Instellingen!$B$8*MIN(F124,Instellingen!$B$4*G124),MIN(H124,Instellingen!$B$4*I124)/Instellingen!$B$8))</f>
        <v>0</v>
      </c>
      <c r="L124" s="26" t="n">
        <f aca="false">IF($E124="Winter",$K124,"")</f>
        <v>0</v>
      </c>
      <c r="M124" s="26" t="str">
        <f aca="false">IF($E124="Lente",$K124,"")</f>
        <v/>
      </c>
      <c r="N124" s="26" t="str">
        <f aca="false">IF($E124="Zomer",$K124,"")</f>
        <v/>
      </c>
      <c r="O124" s="26" t="str">
        <f aca="false">IF($E124="Herfst",$K124,"")</f>
        <v/>
      </c>
    </row>
    <row r="125" customFormat="false" ht="15" hidden="false" customHeight="true" outlineLevel="0" collapsed="false">
      <c r="A125" s="23" t="n">
        <v>46021</v>
      </c>
      <c r="B125" s="24" t="n">
        <v>16.61</v>
      </c>
      <c r="C125" s="24" t="n">
        <v>2.32</v>
      </c>
      <c r="D125" s="24" t="n">
        <v>15.6</v>
      </c>
      <c r="E125" s="24" t="s">
        <v>21</v>
      </c>
      <c r="F125" s="24" t="n">
        <v>2.32</v>
      </c>
      <c r="G125" s="25" t="n">
        <v>5</v>
      </c>
      <c r="H125" s="24" t="n">
        <v>17.72</v>
      </c>
      <c r="I125" s="25" t="n">
        <v>19</v>
      </c>
      <c r="J125" s="24" t="n">
        <v>2.17</v>
      </c>
      <c r="K125" s="26" t="n">
        <f aca="false">MAX(0,MIN(Instellingen!$B$8*MIN(F125,Instellingen!$B$4*G125),MIN(H125,Instellingen!$B$4*I125)/Instellingen!$B$8))</f>
        <v>2.20094525147719</v>
      </c>
      <c r="L125" s="26" t="n">
        <f aca="false">IF($E125="Winter",$K125,"")</f>
        <v>2.20094525147719</v>
      </c>
      <c r="M125" s="26" t="str">
        <f aca="false">IF($E125="Lente",$K125,"")</f>
        <v/>
      </c>
      <c r="N125" s="26" t="str">
        <f aca="false">IF($E125="Zomer",$K125,"")</f>
        <v/>
      </c>
      <c r="O125" s="26" t="str">
        <f aca="false">IF($E125="Herfst",$K125,"")</f>
        <v/>
      </c>
    </row>
    <row r="126" customFormat="false" ht="15" hidden="false" customHeight="true" outlineLevel="0" collapsed="false">
      <c r="A126" s="23" t="n">
        <v>46022</v>
      </c>
      <c r="B126" s="24" t="n">
        <v>14.5</v>
      </c>
      <c r="C126" s="24" t="n">
        <v>0.74</v>
      </c>
      <c r="D126" s="24" t="n">
        <v>13.1</v>
      </c>
      <c r="E126" s="24" t="s">
        <v>21</v>
      </c>
      <c r="F126" s="24" t="n">
        <v>0.74</v>
      </c>
      <c r="G126" s="25" t="n">
        <v>3</v>
      </c>
      <c r="H126" s="24" t="n">
        <v>13.98</v>
      </c>
      <c r="I126" s="25" t="n">
        <v>22</v>
      </c>
      <c r="J126" s="24" t="n">
        <v>0.7</v>
      </c>
      <c r="K126" s="26" t="n">
        <f aca="false">MAX(0,MIN(Instellingen!$B$8*MIN(F126,Instellingen!$B$4*G126),MIN(H126,Instellingen!$B$4*I126)/Instellingen!$B$8))</f>
        <v>0.70202564055738</v>
      </c>
      <c r="L126" s="26" t="n">
        <f aca="false">IF($E126="Winter",$K126,"")</f>
        <v>0.70202564055738</v>
      </c>
      <c r="M126" s="26" t="str">
        <f aca="false">IF($E126="Lente",$K126,"")</f>
        <v/>
      </c>
      <c r="N126" s="26" t="str">
        <f aca="false">IF($E126="Zomer",$K126,"")</f>
        <v/>
      </c>
      <c r="O126" s="26" t="str">
        <f aca="false">IF($E126="Herfst",$K126,"")</f>
        <v/>
      </c>
    </row>
    <row r="127" customFormat="false" ht="15" hidden="false" customHeight="true" outlineLevel="0" collapsed="false">
      <c r="A127" s="23" t="n">
        <v>46023</v>
      </c>
      <c r="B127" s="24" t="n">
        <v>28.76</v>
      </c>
      <c r="C127" s="24" t="n">
        <v>0</v>
      </c>
      <c r="D127" s="24" t="n">
        <v>28.76</v>
      </c>
      <c r="E127" s="24" t="s">
        <v>21</v>
      </c>
      <c r="F127" s="24" t="n">
        <v>0</v>
      </c>
      <c r="G127" s="25" t="n">
        <v>0</v>
      </c>
      <c r="H127" s="24" t="n">
        <v>0</v>
      </c>
      <c r="I127" s="25" t="n">
        <v>0</v>
      </c>
      <c r="J127" s="24" t="n">
        <v>0</v>
      </c>
      <c r="K127" s="26" t="n">
        <f aca="false">MAX(0,MIN(Instellingen!$B$8*MIN(F127,Instellingen!$B$4*G127),MIN(H127,Instellingen!$B$4*I127)/Instellingen!$B$8))</f>
        <v>0</v>
      </c>
      <c r="L127" s="26" t="n">
        <f aca="false">IF($E127="Winter",$K127,"")</f>
        <v>0</v>
      </c>
      <c r="M127" s="26" t="str">
        <f aca="false">IF($E127="Lente",$K127,"")</f>
        <v/>
      </c>
      <c r="N127" s="26" t="str">
        <f aca="false">IF($E127="Zomer",$K127,"")</f>
        <v/>
      </c>
      <c r="O127" s="26" t="str">
        <f aca="false">IF($E127="Herfst",$K127,"")</f>
        <v/>
      </c>
    </row>
    <row r="128" customFormat="false" ht="15" hidden="false" customHeight="true" outlineLevel="0" collapsed="false">
      <c r="A128" s="23" t="n">
        <v>46024</v>
      </c>
      <c r="B128" s="24" t="n">
        <v>22.3</v>
      </c>
      <c r="C128" s="24" t="n">
        <v>0.09</v>
      </c>
      <c r="D128" s="24" t="n">
        <v>18.16</v>
      </c>
      <c r="E128" s="24" t="s">
        <v>21</v>
      </c>
      <c r="F128" s="24" t="n">
        <v>0.09</v>
      </c>
      <c r="G128" s="25" t="n">
        <v>3</v>
      </c>
      <c r="H128" s="24" t="n">
        <v>25.72</v>
      </c>
      <c r="I128" s="25" t="n">
        <v>25</v>
      </c>
      <c r="J128" s="24" t="n">
        <v>0.06</v>
      </c>
      <c r="K128" s="26" t="n">
        <f aca="false">MAX(0,MIN(Instellingen!$B$8*MIN(F128,Instellingen!$B$4*G128),MIN(H128,Instellingen!$B$4*I128)/Instellingen!$B$8))</f>
        <v>0.0853814968245462</v>
      </c>
      <c r="L128" s="26" t="n">
        <f aca="false">IF($E128="Winter",$K128,"")</f>
        <v>0.0853814968245462</v>
      </c>
      <c r="M128" s="26" t="str">
        <f aca="false">IF($E128="Lente",$K128,"")</f>
        <v/>
      </c>
      <c r="N128" s="26" t="str">
        <f aca="false">IF($E128="Zomer",$K128,"")</f>
        <v/>
      </c>
      <c r="O128" s="26" t="str">
        <f aca="false">IF($E128="Herfst",$K128,"")</f>
        <v/>
      </c>
    </row>
    <row r="129" customFormat="false" ht="15" hidden="false" customHeight="true" outlineLevel="0" collapsed="false">
      <c r="A129" s="23" t="n">
        <v>46025</v>
      </c>
      <c r="B129" s="24" t="n">
        <v>24.33</v>
      </c>
      <c r="C129" s="24" t="n">
        <v>0.05</v>
      </c>
      <c r="D129" s="24" t="n">
        <v>24.11</v>
      </c>
      <c r="E129" s="24" t="s">
        <v>21</v>
      </c>
      <c r="F129" s="24" t="n">
        <v>0.05</v>
      </c>
      <c r="G129" s="25" t="n">
        <v>1</v>
      </c>
      <c r="H129" s="24" t="n">
        <v>18.38</v>
      </c>
      <c r="I129" s="25" t="n">
        <v>21</v>
      </c>
      <c r="J129" s="24" t="n">
        <v>0</v>
      </c>
      <c r="K129" s="26" t="n">
        <f aca="false">MAX(0,MIN(Instellingen!$B$8*MIN(F129,Instellingen!$B$4*G129),MIN(H129,Instellingen!$B$4*I129)/Instellingen!$B$8))</f>
        <v>0.0474341649025257</v>
      </c>
      <c r="L129" s="26" t="n">
        <f aca="false">IF($E129="Winter",$K129,"")</f>
        <v>0.0474341649025257</v>
      </c>
      <c r="M129" s="26" t="str">
        <f aca="false">IF($E129="Lente",$K129,"")</f>
        <v/>
      </c>
      <c r="N129" s="26" t="str">
        <f aca="false">IF($E129="Zomer",$K129,"")</f>
        <v/>
      </c>
      <c r="O129" s="26" t="str">
        <f aca="false">IF($E129="Herfst",$K129,"")</f>
        <v/>
      </c>
    </row>
    <row r="130" customFormat="false" ht="15" hidden="false" customHeight="true" outlineLevel="0" collapsed="false">
      <c r="A130" s="23" t="n">
        <v>46026</v>
      </c>
      <c r="B130" s="24" t="n">
        <v>16</v>
      </c>
      <c r="C130" s="24" t="n">
        <v>1.23</v>
      </c>
      <c r="D130" s="24" t="n">
        <v>15.33</v>
      </c>
      <c r="E130" s="24" t="s">
        <v>21</v>
      </c>
      <c r="F130" s="24" t="n">
        <v>1.23</v>
      </c>
      <c r="G130" s="25" t="n">
        <v>3</v>
      </c>
      <c r="H130" s="24" t="n">
        <v>17.72</v>
      </c>
      <c r="I130" s="25" t="n">
        <v>21</v>
      </c>
      <c r="J130" s="24" t="n">
        <v>1.16</v>
      </c>
      <c r="K130" s="26" t="n">
        <f aca="false">MAX(0,MIN(Instellingen!$B$8*MIN(F130,Instellingen!$B$4*G130),MIN(H130,Instellingen!$B$4*I130)/Instellingen!$B$8))</f>
        <v>1.16688045660213</v>
      </c>
      <c r="L130" s="26" t="n">
        <f aca="false">IF($E130="Winter",$K130,"")</f>
        <v>1.16688045660213</v>
      </c>
      <c r="M130" s="26" t="str">
        <f aca="false">IF($E130="Lente",$K130,"")</f>
        <v/>
      </c>
      <c r="N130" s="26" t="str">
        <f aca="false">IF($E130="Zomer",$K130,"")</f>
        <v/>
      </c>
      <c r="O130" s="26" t="str">
        <f aca="false">IF($E130="Herfst",$K130,"")</f>
        <v/>
      </c>
    </row>
    <row r="131" customFormat="false" ht="15" hidden="false" customHeight="true" outlineLevel="0" collapsed="false">
      <c r="A131" s="23" t="n">
        <v>46027</v>
      </c>
      <c r="B131" s="24" t="n">
        <v>30.07</v>
      </c>
      <c r="C131" s="24" t="n">
        <v>0</v>
      </c>
      <c r="D131" s="24" t="n">
        <v>30.07</v>
      </c>
      <c r="E131" s="24" t="s">
        <v>21</v>
      </c>
      <c r="F131" s="24" t="n">
        <v>0</v>
      </c>
      <c r="G131" s="25" t="n">
        <v>0</v>
      </c>
      <c r="H131" s="24" t="n">
        <v>0</v>
      </c>
      <c r="I131" s="25" t="n">
        <v>0</v>
      </c>
      <c r="J131" s="24" t="n">
        <v>0</v>
      </c>
      <c r="K131" s="26" t="n">
        <f aca="false">MAX(0,MIN(Instellingen!$B$8*MIN(F131,Instellingen!$B$4*G131),MIN(H131,Instellingen!$B$4*I131)/Instellingen!$B$8))</f>
        <v>0</v>
      </c>
      <c r="L131" s="26" t="n">
        <f aca="false">IF($E131="Winter",$K131,"")</f>
        <v>0</v>
      </c>
      <c r="M131" s="26" t="str">
        <f aca="false">IF($E131="Lente",$K131,"")</f>
        <v/>
      </c>
      <c r="N131" s="26" t="str">
        <f aca="false">IF($E131="Zomer",$K131,"")</f>
        <v/>
      </c>
      <c r="O131" s="26" t="str">
        <f aca="false">IF($E131="Herfst",$K131,"")</f>
        <v/>
      </c>
    </row>
    <row r="132" customFormat="false" ht="15" hidden="false" customHeight="true" outlineLevel="0" collapsed="false">
      <c r="A132" s="23" t="n">
        <v>46028</v>
      </c>
      <c r="B132" s="24" t="n">
        <v>28.72</v>
      </c>
      <c r="C132" s="24" t="n">
        <v>0</v>
      </c>
      <c r="D132" s="24" t="n">
        <v>28.72</v>
      </c>
      <c r="E132" s="24" t="s">
        <v>21</v>
      </c>
      <c r="F132" s="24" t="n">
        <v>0</v>
      </c>
      <c r="G132" s="25" t="n">
        <v>0</v>
      </c>
      <c r="H132" s="24" t="n">
        <v>0</v>
      </c>
      <c r="I132" s="25" t="n">
        <v>0</v>
      </c>
      <c r="J132" s="24" t="n">
        <v>0</v>
      </c>
      <c r="K132" s="26" t="n">
        <f aca="false">MAX(0,MIN(Instellingen!$B$8*MIN(F132,Instellingen!$B$4*G132),MIN(H132,Instellingen!$B$4*I132)/Instellingen!$B$8))</f>
        <v>0</v>
      </c>
      <c r="L132" s="26" t="n">
        <f aca="false">IF($E132="Winter",$K132,"")</f>
        <v>0</v>
      </c>
      <c r="M132" s="26" t="str">
        <f aca="false">IF($E132="Lente",$K132,"")</f>
        <v/>
      </c>
      <c r="N132" s="26" t="str">
        <f aca="false">IF($E132="Zomer",$K132,"")</f>
        <v/>
      </c>
      <c r="O132" s="26" t="str">
        <f aca="false">IF($E132="Herfst",$K132,"")</f>
        <v/>
      </c>
    </row>
    <row r="133" customFormat="false" ht="15" hidden="false" customHeight="true" outlineLevel="0" collapsed="false">
      <c r="A133" s="23" t="n">
        <v>46029</v>
      </c>
      <c r="B133" s="24" t="n">
        <v>26.67</v>
      </c>
      <c r="C133" s="24" t="n">
        <v>0</v>
      </c>
      <c r="D133" s="24" t="n">
        <v>26.67</v>
      </c>
      <c r="E133" s="24" t="s">
        <v>21</v>
      </c>
      <c r="F133" s="24" t="n">
        <v>0</v>
      </c>
      <c r="G133" s="25" t="n">
        <v>0</v>
      </c>
      <c r="H133" s="24" t="n">
        <v>0</v>
      </c>
      <c r="I133" s="25" t="n">
        <v>0</v>
      </c>
      <c r="J133" s="24" t="n">
        <v>0</v>
      </c>
      <c r="K133" s="26" t="n">
        <f aca="false">MAX(0,MIN(Instellingen!$B$8*MIN(F133,Instellingen!$B$4*G133),MIN(H133,Instellingen!$B$4*I133)/Instellingen!$B$8))</f>
        <v>0</v>
      </c>
      <c r="L133" s="26" t="n">
        <f aca="false">IF($E133="Winter",$K133,"")</f>
        <v>0</v>
      </c>
      <c r="M133" s="26" t="str">
        <f aca="false">IF($E133="Lente",$K133,"")</f>
        <v/>
      </c>
      <c r="N133" s="26" t="str">
        <f aca="false">IF($E133="Zomer",$K133,"")</f>
        <v/>
      </c>
      <c r="O133" s="26" t="str">
        <f aca="false">IF($E133="Herfst",$K133,"")</f>
        <v/>
      </c>
    </row>
    <row r="134" customFormat="false" ht="15" hidden="false" customHeight="true" outlineLevel="0" collapsed="false">
      <c r="A134" s="23" t="n">
        <v>46030</v>
      </c>
      <c r="B134" s="24" t="n">
        <v>14.9</v>
      </c>
      <c r="C134" s="24" t="n">
        <v>0.01</v>
      </c>
      <c r="D134" s="24" t="n">
        <v>14.9</v>
      </c>
      <c r="E134" s="24" t="s">
        <v>21</v>
      </c>
      <c r="F134" s="24" t="n">
        <v>0</v>
      </c>
      <c r="G134" s="25" t="n">
        <v>0</v>
      </c>
      <c r="H134" s="24" t="n">
        <v>0</v>
      </c>
      <c r="I134" s="25" t="n">
        <v>0</v>
      </c>
      <c r="J134" s="24" t="n">
        <v>0</v>
      </c>
      <c r="K134" s="26" t="n">
        <f aca="false">MAX(0,MIN(Instellingen!$B$8*MIN(F134,Instellingen!$B$4*G134),MIN(H134,Instellingen!$B$4*I134)/Instellingen!$B$8))</f>
        <v>0</v>
      </c>
      <c r="L134" s="26" t="n">
        <f aca="false">IF($E134="Winter",$K134,"")</f>
        <v>0</v>
      </c>
      <c r="M134" s="26" t="str">
        <f aca="false">IF($E134="Lente",$K134,"")</f>
        <v/>
      </c>
      <c r="N134" s="26" t="str">
        <f aca="false">IF($E134="Zomer",$K134,"")</f>
        <v/>
      </c>
      <c r="O134" s="26" t="str">
        <f aca="false">IF($E134="Herfst",$K134,"")</f>
        <v/>
      </c>
    </row>
    <row r="135" customFormat="false" ht="15" hidden="false" customHeight="true" outlineLevel="0" collapsed="false">
      <c r="A135" s="23" t="n">
        <v>46031</v>
      </c>
      <c r="B135" s="24" t="n">
        <v>35.3</v>
      </c>
      <c r="C135" s="24" t="n">
        <v>0</v>
      </c>
      <c r="D135" s="24" t="n">
        <v>35.3</v>
      </c>
      <c r="E135" s="24" t="s">
        <v>21</v>
      </c>
      <c r="F135" s="24" t="n">
        <v>0</v>
      </c>
      <c r="G135" s="25" t="n">
        <v>0</v>
      </c>
      <c r="H135" s="24" t="n">
        <v>0</v>
      </c>
      <c r="I135" s="25" t="n">
        <v>0</v>
      </c>
      <c r="J135" s="24" t="n">
        <v>0</v>
      </c>
      <c r="K135" s="26" t="n">
        <f aca="false">MAX(0,MIN(Instellingen!$B$8*MIN(F135,Instellingen!$B$4*G135),MIN(H135,Instellingen!$B$4*I135)/Instellingen!$B$8))</f>
        <v>0</v>
      </c>
      <c r="L135" s="26" t="n">
        <f aca="false">IF($E135="Winter",$K135,"")</f>
        <v>0</v>
      </c>
      <c r="M135" s="26" t="str">
        <f aca="false">IF($E135="Lente",$K135,"")</f>
        <v/>
      </c>
      <c r="N135" s="26" t="str">
        <f aca="false">IF($E135="Zomer",$K135,"")</f>
        <v/>
      </c>
      <c r="O135" s="26" t="str">
        <f aca="false">IF($E135="Herfst",$K135,"")</f>
        <v/>
      </c>
    </row>
    <row r="136" customFormat="false" ht="15" hidden="false" customHeight="true" outlineLevel="0" collapsed="false">
      <c r="A136" s="23" t="n">
        <v>46032</v>
      </c>
      <c r="B136" s="24" t="n">
        <v>41.17</v>
      </c>
      <c r="C136" s="24" t="n">
        <v>0.05</v>
      </c>
      <c r="D136" s="24" t="n">
        <v>39.9</v>
      </c>
      <c r="E136" s="24" t="s">
        <v>21</v>
      </c>
      <c r="F136" s="24" t="n">
        <v>0.04</v>
      </c>
      <c r="G136" s="25" t="n">
        <v>1</v>
      </c>
      <c r="H136" s="24" t="n">
        <v>19.23</v>
      </c>
      <c r="I136" s="25" t="n">
        <v>19</v>
      </c>
      <c r="J136" s="24" t="n">
        <v>0</v>
      </c>
      <c r="K136" s="26" t="n">
        <f aca="false">MAX(0,MIN(Instellingen!$B$8*MIN(F136,Instellingen!$B$4*G136),MIN(H136,Instellingen!$B$4*I136)/Instellingen!$B$8))</f>
        <v>0.0379473319220206</v>
      </c>
      <c r="L136" s="26" t="n">
        <f aca="false">IF($E136="Winter",$K136,"")</f>
        <v>0.0379473319220206</v>
      </c>
      <c r="M136" s="26" t="str">
        <f aca="false">IF($E136="Lente",$K136,"")</f>
        <v/>
      </c>
      <c r="N136" s="26" t="str">
        <f aca="false">IF($E136="Zomer",$K136,"")</f>
        <v/>
      </c>
      <c r="O136" s="26" t="str">
        <f aca="false">IF($E136="Herfst",$K136,"")</f>
        <v/>
      </c>
    </row>
    <row r="137" customFormat="false" ht="15" hidden="false" customHeight="true" outlineLevel="0" collapsed="false">
      <c r="A137" s="23" t="n">
        <v>46033</v>
      </c>
      <c r="B137" s="24" t="n">
        <v>24.51</v>
      </c>
      <c r="C137" s="24" t="n">
        <v>0.05</v>
      </c>
      <c r="D137" s="24" t="n">
        <v>23.66</v>
      </c>
      <c r="E137" s="24" t="s">
        <v>21</v>
      </c>
      <c r="F137" s="24" t="n">
        <v>0.05</v>
      </c>
      <c r="G137" s="25" t="n">
        <v>2</v>
      </c>
      <c r="H137" s="24" t="n">
        <v>31.17</v>
      </c>
      <c r="I137" s="25" t="n">
        <v>23</v>
      </c>
      <c r="J137" s="24" t="n">
        <v>0</v>
      </c>
      <c r="K137" s="26" t="n">
        <f aca="false">MAX(0,MIN(Instellingen!$B$8*MIN(F137,Instellingen!$B$4*G137),MIN(H137,Instellingen!$B$4*I137)/Instellingen!$B$8))</f>
        <v>0.0474341649025257</v>
      </c>
      <c r="L137" s="26" t="n">
        <f aca="false">IF($E137="Winter",$K137,"")</f>
        <v>0.0474341649025257</v>
      </c>
      <c r="M137" s="26" t="str">
        <f aca="false">IF($E137="Lente",$K137,"")</f>
        <v/>
      </c>
      <c r="N137" s="26" t="str">
        <f aca="false">IF($E137="Zomer",$K137,"")</f>
        <v/>
      </c>
      <c r="O137" s="26" t="str">
        <f aca="false">IF($E137="Herfst",$K137,"")</f>
        <v/>
      </c>
    </row>
    <row r="138" customFormat="false" ht="15" hidden="false" customHeight="true" outlineLevel="0" collapsed="false">
      <c r="A138" s="23" t="n">
        <v>46034</v>
      </c>
      <c r="B138" s="24" t="n">
        <v>31.54</v>
      </c>
      <c r="C138" s="24" t="n">
        <v>0</v>
      </c>
      <c r="D138" s="24" t="n">
        <v>31.54</v>
      </c>
      <c r="E138" s="24" t="s">
        <v>21</v>
      </c>
      <c r="F138" s="24" t="n">
        <v>0</v>
      </c>
      <c r="G138" s="25" t="n">
        <v>0</v>
      </c>
      <c r="H138" s="24" t="n">
        <v>0</v>
      </c>
      <c r="I138" s="25" t="n">
        <v>0</v>
      </c>
      <c r="J138" s="24" t="n">
        <v>0</v>
      </c>
      <c r="K138" s="26" t="n">
        <f aca="false">MAX(0,MIN(Instellingen!$B$8*MIN(F138,Instellingen!$B$4*G138),MIN(H138,Instellingen!$B$4*I138)/Instellingen!$B$8))</f>
        <v>0</v>
      </c>
      <c r="L138" s="26" t="n">
        <f aca="false">IF($E138="Winter",$K138,"")</f>
        <v>0</v>
      </c>
      <c r="M138" s="26" t="str">
        <f aca="false">IF($E138="Lente",$K138,"")</f>
        <v/>
      </c>
      <c r="N138" s="26" t="str">
        <f aca="false">IF($E138="Zomer",$K138,"")</f>
        <v/>
      </c>
      <c r="O138" s="26" t="str">
        <f aca="false">IF($E138="Herfst",$K138,"")</f>
        <v/>
      </c>
    </row>
    <row r="139" customFormat="false" ht="15" hidden="false" customHeight="true" outlineLevel="0" collapsed="false">
      <c r="A139" s="23" t="n">
        <v>46035</v>
      </c>
      <c r="B139" s="24" t="n">
        <v>26.88</v>
      </c>
      <c r="C139" s="24" t="n">
        <v>0</v>
      </c>
      <c r="D139" s="24" t="n">
        <v>26.88</v>
      </c>
      <c r="E139" s="24" t="s">
        <v>21</v>
      </c>
      <c r="F139" s="24" t="n">
        <v>0</v>
      </c>
      <c r="G139" s="25" t="n">
        <v>0</v>
      </c>
      <c r="H139" s="24" t="n">
        <v>0</v>
      </c>
      <c r="I139" s="25" t="n">
        <v>0</v>
      </c>
      <c r="J139" s="24" t="n">
        <v>0</v>
      </c>
      <c r="K139" s="26" t="n">
        <f aca="false">MAX(0,MIN(Instellingen!$B$8*MIN(F139,Instellingen!$B$4*G139),MIN(H139,Instellingen!$B$4*I139)/Instellingen!$B$8))</f>
        <v>0</v>
      </c>
      <c r="L139" s="26" t="n">
        <f aca="false">IF($E139="Winter",$K139,"")</f>
        <v>0</v>
      </c>
      <c r="M139" s="26" t="str">
        <f aca="false">IF($E139="Lente",$K139,"")</f>
        <v/>
      </c>
      <c r="N139" s="26" t="str">
        <f aca="false">IF($E139="Zomer",$K139,"")</f>
        <v/>
      </c>
      <c r="O139" s="26" t="str">
        <f aca="false">IF($E139="Herfst",$K139,"")</f>
        <v/>
      </c>
    </row>
    <row r="140" customFormat="false" ht="15" hidden="false" customHeight="true" outlineLevel="0" collapsed="false">
      <c r="A140" s="23" t="n">
        <v>46036</v>
      </c>
      <c r="B140" s="24" t="n">
        <v>24.15</v>
      </c>
      <c r="C140" s="24" t="n">
        <v>3.47</v>
      </c>
      <c r="D140" s="24" t="n">
        <v>23.34</v>
      </c>
      <c r="E140" s="24" t="s">
        <v>21</v>
      </c>
      <c r="F140" s="24" t="n">
        <v>3.47</v>
      </c>
      <c r="G140" s="25" t="n">
        <v>5</v>
      </c>
      <c r="H140" s="24" t="n">
        <v>22.2</v>
      </c>
      <c r="I140" s="25" t="n">
        <v>22</v>
      </c>
      <c r="J140" s="24" t="n">
        <v>3.2</v>
      </c>
      <c r="K140" s="26" t="n">
        <f aca="false">MAX(0,MIN(Instellingen!$B$8*MIN(F140,Instellingen!$B$4*G140),MIN(H140,Instellingen!$B$4*I140)/Instellingen!$B$8))</f>
        <v>3.29193104423528</v>
      </c>
      <c r="L140" s="26" t="n">
        <f aca="false">IF($E140="Winter",$K140,"")</f>
        <v>3.29193104423528</v>
      </c>
      <c r="M140" s="26" t="str">
        <f aca="false">IF($E140="Lente",$K140,"")</f>
        <v/>
      </c>
      <c r="N140" s="26" t="str">
        <f aca="false">IF($E140="Zomer",$K140,"")</f>
        <v/>
      </c>
      <c r="O140" s="26" t="str">
        <f aca="false">IF($E140="Herfst",$K140,"")</f>
        <v/>
      </c>
    </row>
    <row r="141" customFormat="false" ht="15" hidden="false" customHeight="true" outlineLevel="0" collapsed="false">
      <c r="A141" s="23" t="n">
        <v>46037</v>
      </c>
      <c r="B141" s="24" t="n">
        <v>10.2</v>
      </c>
      <c r="C141" s="24" t="n">
        <v>0.04</v>
      </c>
      <c r="D141" s="24" t="n">
        <v>9.97</v>
      </c>
      <c r="E141" s="24" t="s">
        <v>21</v>
      </c>
      <c r="F141" s="24" t="n">
        <v>0.04</v>
      </c>
      <c r="G141" s="25" t="n">
        <v>2</v>
      </c>
      <c r="H141" s="24" t="n">
        <v>11.37</v>
      </c>
      <c r="I141" s="25" t="n">
        <v>19</v>
      </c>
      <c r="J141" s="24" t="n">
        <v>0</v>
      </c>
      <c r="K141" s="26" t="n">
        <f aca="false">MAX(0,MIN(Instellingen!$B$8*MIN(F141,Instellingen!$B$4*G141),MIN(H141,Instellingen!$B$4*I141)/Instellingen!$B$8))</f>
        <v>0.0379473319220206</v>
      </c>
      <c r="L141" s="26" t="n">
        <f aca="false">IF($E141="Winter",$K141,"")</f>
        <v>0.0379473319220206</v>
      </c>
      <c r="M141" s="26" t="str">
        <f aca="false">IF($E141="Lente",$K141,"")</f>
        <v/>
      </c>
      <c r="N141" s="26" t="str">
        <f aca="false">IF($E141="Zomer",$K141,"")</f>
        <v/>
      </c>
      <c r="O141" s="26" t="str">
        <f aca="false">IF($E141="Herfst",$K141,"")</f>
        <v/>
      </c>
    </row>
    <row r="142" customFormat="false" ht="15" hidden="false" customHeight="true" outlineLevel="0" collapsed="false">
      <c r="A142" s="23" t="n">
        <v>46038</v>
      </c>
      <c r="B142" s="24" t="n">
        <v>15.6</v>
      </c>
      <c r="C142" s="24" t="n">
        <v>3.85</v>
      </c>
      <c r="D142" s="24" t="n">
        <v>15.36</v>
      </c>
      <c r="E142" s="24" t="s">
        <v>21</v>
      </c>
      <c r="F142" s="24" t="n">
        <v>3.85</v>
      </c>
      <c r="G142" s="25" t="n">
        <v>5</v>
      </c>
      <c r="H142" s="24" t="n">
        <v>11.95</v>
      </c>
      <c r="I142" s="25" t="n">
        <v>19</v>
      </c>
      <c r="J142" s="24" t="n">
        <v>3.61</v>
      </c>
      <c r="K142" s="26" t="n">
        <f aca="false">MAX(0,MIN(Instellingen!$B$8*MIN(F142,Instellingen!$B$4*G142),MIN(H142,Instellingen!$B$4*I142)/Instellingen!$B$8))</f>
        <v>3.65243069749448</v>
      </c>
      <c r="L142" s="26" t="n">
        <f aca="false">IF($E142="Winter",$K142,"")</f>
        <v>3.65243069749448</v>
      </c>
      <c r="M142" s="26" t="str">
        <f aca="false">IF($E142="Lente",$K142,"")</f>
        <v/>
      </c>
      <c r="N142" s="26" t="str">
        <f aca="false">IF($E142="Zomer",$K142,"")</f>
        <v/>
      </c>
      <c r="O142" s="26" t="str">
        <f aca="false">IF($E142="Herfst",$K142,"")</f>
        <v/>
      </c>
    </row>
    <row r="143" customFormat="false" ht="15" hidden="false" customHeight="true" outlineLevel="0" collapsed="false">
      <c r="A143" s="23" t="n">
        <v>46039</v>
      </c>
      <c r="B143" s="24" t="n">
        <v>15.85</v>
      </c>
      <c r="C143" s="24" t="n">
        <v>4.96</v>
      </c>
      <c r="D143" s="24" t="n">
        <v>14.79</v>
      </c>
      <c r="E143" s="24" t="s">
        <v>21</v>
      </c>
      <c r="F143" s="24" t="n">
        <v>4.97</v>
      </c>
      <c r="G143" s="25" t="n">
        <v>6</v>
      </c>
      <c r="H143" s="24" t="n">
        <v>14.62</v>
      </c>
      <c r="I143" s="25" t="n">
        <v>18</v>
      </c>
      <c r="J143" s="24" t="n">
        <v>4.66</v>
      </c>
      <c r="K143" s="26" t="n">
        <f aca="false">MAX(0,MIN(Instellingen!$B$8*MIN(F143,Instellingen!$B$4*G143),MIN(H143,Instellingen!$B$4*I143)/Instellingen!$B$8))</f>
        <v>4.71495599131105</v>
      </c>
      <c r="L143" s="26" t="n">
        <f aca="false">IF($E143="Winter",$K143,"")</f>
        <v>4.71495599131105</v>
      </c>
      <c r="M143" s="26" t="str">
        <f aca="false">IF($E143="Lente",$K143,"")</f>
        <v/>
      </c>
      <c r="N143" s="26" t="str">
        <f aca="false">IF($E143="Zomer",$K143,"")</f>
        <v/>
      </c>
      <c r="O143" s="26" t="str">
        <f aca="false">IF($E143="Herfst",$K143,"")</f>
        <v/>
      </c>
    </row>
    <row r="144" customFormat="false" ht="15" hidden="false" customHeight="true" outlineLevel="0" collapsed="false">
      <c r="A144" s="23" t="n">
        <v>46040</v>
      </c>
      <c r="B144" s="24" t="n">
        <v>15.16</v>
      </c>
      <c r="C144" s="24" t="n">
        <v>4.44</v>
      </c>
      <c r="D144" s="24" t="n">
        <v>13.75</v>
      </c>
      <c r="E144" s="24" t="s">
        <v>21</v>
      </c>
      <c r="F144" s="24" t="n">
        <v>4.43</v>
      </c>
      <c r="G144" s="25" t="n">
        <v>6</v>
      </c>
      <c r="H144" s="24" t="n">
        <v>13.99</v>
      </c>
      <c r="I144" s="25" t="n">
        <v>17</v>
      </c>
      <c r="J144" s="24" t="n">
        <v>4.16</v>
      </c>
      <c r="K144" s="26" t="n">
        <f aca="false">MAX(0,MIN(Instellingen!$B$8*MIN(F144,Instellingen!$B$4*G144),MIN(H144,Instellingen!$B$4*I144)/Instellingen!$B$8))</f>
        <v>4.20266701036378</v>
      </c>
      <c r="L144" s="26" t="n">
        <f aca="false">IF($E144="Winter",$K144,"")</f>
        <v>4.20266701036378</v>
      </c>
      <c r="M144" s="26" t="str">
        <f aca="false">IF($E144="Lente",$K144,"")</f>
        <v/>
      </c>
      <c r="N144" s="26" t="str">
        <f aca="false">IF($E144="Zomer",$K144,"")</f>
        <v/>
      </c>
      <c r="O144" s="26" t="str">
        <f aca="false">IF($E144="Herfst",$K144,"")</f>
        <v/>
      </c>
    </row>
    <row r="145" customFormat="false" ht="15" hidden="false" customHeight="true" outlineLevel="0" collapsed="false">
      <c r="A145" s="23" t="n">
        <v>46041</v>
      </c>
      <c r="B145" s="24" t="n">
        <v>17.85</v>
      </c>
      <c r="C145" s="24" t="n">
        <v>3.65</v>
      </c>
      <c r="D145" s="24" t="n">
        <v>17.72</v>
      </c>
      <c r="E145" s="24" t="s">
        <v>21</v>
      </c>
      <c r="F145" s="24" t="n">
        <v>3.66</v>
      </c>
      <c r="G145" s="25" t="n">
        <v>7</v>
      </c>
      <c r="H145" s="24" t="n">
        <v>22.87</v>
      </c>
      <c r="I145" s="25" t="n">
        <v>19</v>
      </c>
      <c r="J145" s="24" t="n">
        <v>3.43</v>
      </c>
      <c r="K145" s="26" t="n">
        <f aca="false">MAX(0,MIN(Instellingen!$B$8*MIN(F145,Instellingen!$B$4*G145),MIN(H145,Instellingen!$B$4*I145)/Instellingen!$B$8))</f>
        <v>3.47218087086488</v>
      </c>
      <c r="L145" s="26" t="n">
        <f aca="false">IF($E145="Winter",$K145,"")</f>
        <v>3.47218087086488</v>
      </c>
      <c r="M145" s="26" t="str">
        <f aca="false">IF($E145="Lente",$K145,"")</f>
        <v/>
      </c>
      <c r="N145" s="26" t="str">
        <f aca="false">IF($E145="Zomer",$K145,"")</f>
        <v/>
      </c>
      <c r="O145" s="26" t="str">
        <f aca="false">IF($E145="Herfst",$K145,"")</f>
        <v/>
      </c>
    </row>
    <row r="146" customFormat="false" ht="15" hidden="false" customHeight="true" outlineLevel="0" collapsed="false">
      <c r="A146" s="23" t="n">
        <v>46042</v>
      </c>
      <c r="B146" s="24" t="n">
        <v>19.59</v>
      </c>
      <c r="C146" s="24" t="n">
        <v>5.57</v>
      </c>
      <c r="D146" s="24" t="n">
        <v>18.66</v>
      </c>
      <c r="E146" s="24" t="s">
        <v>21</v>
      </c>
      <c r="F146" s="24" t="n">
        <v>5.57</v>
      </c>
      <c r="G146" s="25" t="n">
        <v>6</v>
      </c>
      <c r="H146" s="24" t="n">
        <v>18.58</v>
      </c>
      <c r="I146" s="25" t="n">
        <v>19</v>
      </c>
      <c r="J146" s="24" t="n">
        <v>5.23</v>
      </c>
      <c r="K146" s="26" t="n">
        <f aca="false">MAX(0,MIN(Instellingen!$B$8*MIN(F146,Instellingen!$B$4*G146),MIN(H146,Instellingen!$B$4*I146)/Instellingen!$B$8))</f>
        <v>5.28416597014136</v>
      </c>
      <c r="L146" s="26" t="n">
        <f aca="false">IF($E146="Winter",$K146,"")</f>
        <v>5.28416597014136</v>
      </c>
      <c r="M146" s="26" t="str">
        <f aca="false">IF($E146="Lente",$K146,"")</f>
        <v/>
      </c>
      <c r="N146" s="26" t="str">
        <f aca="false">IF($E146="Zomer",$K146,"")</f>
        <v/>
      </c>
      <c r="O146" s="26" t="str">
        <f aca="false">IF($E146="Herfst",$K146,"")</f>
        <v/>
      </c>
    </row>
    <row r="147" customFormat="false" ht="15" hidden="false" customHeight="true" outlineLevel="0" collapsed="false">
      <c r="A147" s="23" t="n">
        <v>46043</v>
      </c>
      <c r="B147" s="24" t="n">
        <v>19.7</v>
      </c>
      <c r="C147" s="24" t="n">
        <v>1.52</v>
      </c>
      <c r="D147" s="24" t="n">
        <v>19.14</v>
      </c>
      <c r="E147" s="24" t="s">
        <v>21</v>
      </c>
      <c r="F147" s="24" t="n">
        <v>1.52</v>
      </c>
      <c r="G147" s="25" t="n">
        <v>4</v>
      </c>
      <c r="H147" s="24" t="n">
        <v>21.04</v>
      </c>
      <c r="I147" s="25" t="n">
        <v>20</v>
      </c>
      <c r="J147" s="24" t="n">
        <v>1.43</v>
      </c>
      <c r="K147" s="26" t="n">
        <f aca="false">MAX(0,MIN(Instellingen!$B$8*MIN(F147,Instellingen!$B$4*G147),MIN(H147,Instellingen!$B$4*I147)/Instellingen!$B$8))</f>
        <v>1.44199861303678</v>
      </c>
      <c r="L147" s="26" t="n">
        <f aca="false">IF($E147="Winter",$K147,"")</f>
        <v>1.44199861303678</v>
      </c>
      <c r="M147" s="26" t="str">
        <f aca="false">IF($E147="Lente",$K147,"")</f>
        <v/>
      </c>
      <c r="N147" s="26" t="str">
        <f aca="false">IF($E147="Zomer",$K147,"")</f>
        <v/>
      </c>
      <c r="O147" s="26" t="str">
        <f aca="false">IF($E147="Herfst",$K147,"")</f>
        <v/>
      </c>
    </row>
    <row r="148" customFormat="false" ht="15" hidden="false" customHeight="true" outlineLevel="0" collapsed="false">
      <c r="A148" s="23" t="n">
        <v>46044</v>
      </c>
      <c r="B148" s="24" t="n">
        <v>25.72</v>
      </c>
      <c r="C148" s="24" t="n">
        <v>0.78</v>
      </c>
      <c r="D148" s="24" t="n">
        <v>24.94</v>
      </c>
      <c r="E148" s="24" t="s">
        <v>21</v>
      </c>
      <c r="F148" s="24" t="n">
        <v>0.78</v>
      </c>
      <c r="G148" s="25" t="n">
        <v>4</v>
      </c>
      <c r="H148" s="24" t="n">
        <v>17.62</v>
      </c>
      <c r="I148" s="25" t="n">
        <v>17</v>
      </c>
      <c r="J148" s="24" t="n">
        <v>0.73</v>
      </c>
      <c r="K148" s="26" t="n">
        <f aca="false">MAX(0,MIN(Instellingen!$B$8*MIN(F148,Instellingen!$B$4*G148),MIN(H148,Instellingen!$B$4*I148)/Instellingen!$B$8))</f>
        <v>0.739972972479401</v>
      </c>
      <c r="L148" s="26" t="n">
        <f aca="false">IF($E148="Winter",$K148,"")</f>
        <v>0.739972972479401</v>
      </c>
      <c r="M148" s="26" t="str">
        <f aca="false">IF($E148="Lente",$K148,"")</f>
        <v/>
      </c>
      <c r="N148" s="26" t="str">
        <f aca="false">IF($E148="Zomer",$K148,"")</f>
        <v/>
      </c>
      <c r="O148" s="26" t="str">
        <f aca="false">IF($E148="Herfst",$K148,"")</f>
        <v/>
      </c>
    </row>
    <row r="149" customFormat="false" ht="15" hidden="false" customHeight="true" outlineLevel="0" collapsed="false">
      <c r="A149" s="23" t="n">
        <v>46045</v>
      </c>
      <c r="B149" s="24" t="n">
        <v>14.57</v>
      </c>
      <c r="C149" s="24" t="n">
        <v>1.45</v>
      </c>
      <c r="D149" s="24" t="n">
        <v>13.95</v>
      </c>
      <c r="E149" s="24" t="s">
        <v>21</v>
      </c>
      <c r="F149" s="24" t="n">
        <v>1.45</v>
      </c>
      <c r="G149" s="25" t="n">
        <v>6</v>
      </c>
      <c r="H149" s="24" t="n">
        <v>26.3</v>
      </c>
      <c r="I149" s="25" t="n">
        <v>21</v>
      </c>
      <c r="J149" s="24" t="n">
        <v>1.36</v>
      </c>
      <c r="K149" s="26" t="n">
        <f aca="false">MAX(0,MIN(Instellingen!$B$8*MIN(F149,Instellingen!$B$4*G149),MIN(H149,Instellingen!$B$4*I149)/Instellingen!$B$8))</f>
        <v>1.37559078217325</v>
      </c>
      <c r="L149" s="26" t="n">
        <f aca="false">IF($E149="Winter",$K149,"")</f>
        <v>1.37559078217325</v>
      </c>
      <c r="M149" s="26" t="str">
        <f aca="false">IF($E149="Lente",$K149,"")</f>
        <v/>
      </c>
      <c r="N149" s="26" t="str">
        <f aca="false">IF($E149="Zomer",$K149,"")</f>
        <v/>
      </c>
      <c r="O149" s="26" t="str">
        <f aca="false">IF($E149="Herfst",$K149,"")</f>
        <v/>
      </c>
    </row>
    <row r="150" customFormat="false" ht="15" hidden="false" customHeight="true" outlineLevel="0" collapsed="false">
      <c r="A150" s="23" t="n">
        <v>46046</v>
      </c>
      <c r="B150" s="24" t="n">
        <v>38.85</v>
      </c>
      <c r="C150" s="24" t="n">
        <v>0.01</v>
      </c>
      <c r="D150" s="24" t="n">
        <v>38.85</v>
      </c>
      <c r="E150" s="24" t="s">
        <v>21</v>
      </c>
      <c r="F150" s="24" t="n">
        <v>0</v>
      </c>
      <c r="G150" s="25" t="n">
        <v>0</v>
      </c>
      <c r="H150" s="24" t="n">
        <v>0</v>
      </c>
      <c r="I150" s="25" t="n">
        <v>0</v>
      </c>
      <c r="J150" s="24" t="n">
        <v>0</v>
      </c>
      <c r="K150" s="26" t="n">
        <f aca="false">MAX(0,MIN(Instellingen!$B$8*MIN(F150,Instellingen!$B$4*G150),MIN(H150,Instellingen!$B$4*I150)/Instellingen!$B$8))</f>
        <v>0</v>
      </c>
      <c r="L150" s="26" t="n">
        <f aca="false">IF($E150="Winter",$K150,"")</f>
        <v>0</v>
      </c>
      <c r="M150" s="26" t="str">
        <f aca="false">IF($E150="Lente",$K150,"")</f>
        <v/>
      </c>
      <c r="N150" s="26" t="str">
        <f aca="false">IF($E150="Zomer",$K150,"")</f>
        <v/>
      </c>
      <c r="O150" s="26" t="str">
        <f aca="false">IF($E150="Herfst",$K150,"")</f>
        <v/>
      </c>
    </row>
    <row r="151" customFormat="false" ht="15" hidden="false" customHeight="true" outlineLevel="0" collapsed="false">
      <c r="A151" s="23" t="n">
        <v>46047</v>
      </c>
      <c r="B151" s="24" t="n">
        <v>60.46</v>
      </c>
      <c r="C151" s="24" t="n">
        <v>0</v>
      </c>
      <c r="D151" s="24" t="n">
        <v>60.46</v>
      </c>
      <c r="E151" s="24" t="s">
        <v>21</v>
      </c>
      <c r="F151" s="24" t="n">
        <v>0</v>
      </c>
      <c r="G151" s="25" t="n">
        <v>0</v>
      </c>
      <c r="H151" s="24" t="n">
        <v>0</v>
      </c>
      <c r="I151" s="25" t="n">
        <v>0</v>
      </c>
      <c r="J151" s="24" t="n">
        <v>0</v>
      </c>
      <c r="K151" s="26" t="n">
        <f aca="false">MAX(0,MIN(Instellingen!$B$8*MIN(F151,Instellingen!$B$4*G151),MIN(H151,Instellingen!$B$4*I151)/Instellingen!$B$8))</f>
        <v>0</v>
      </c>
      <c r="L151" s="26" t="n">
        <f aca="false">IF($E151="Winter",$K151,"")</f>
        <v>0</v>
      </c>
      <c r="M151" s="26" t="str">
        <f aca="false">IF($E151="Lente",$K151,"")</f>
        <v/>
      </c>
      <c r="N151" s="26" t="str">
        <f aca="false">IF($E151="Zomer",$K151,"")</f>
        <v/>
      </c>
      <c r="O151" s="26" t="str">
        <f aca="false">IF($E151="Herfst",$K151,"")</f>
        <v/>
      </c>
    </row>
    <row r="152" customFormat="false" ht="15" hidden="false" customHeight="true" outlineLevel="0" collapsed="false">
      <c r="A152" s="23" t="n">
        <v>46048</v>
      </c>
      <c r="B152" s="24" t="n">
        <v>34.55</v>
      </c>
      <c r="C152" s="24" t="n">
        <v>0.24</v>
      </c>
      <c r="D152" s="24" t="n">
        <v>34.48</v>
      </c>
      <c r="E152" s="24" t="s">
        <v>21</v>
      </c>
      <c r="F152" s="24" t="n">
        <v>0.24</v>
      </c>
      <c r="G152" s="25" t="n">
        <v>4</v>
      </c>
      <c r="H152" s="24" t="n">
        <v>18.7</v>
      </c>
      <c r="I152" s="25" t="n">
        <v>19</v>
      </c>
      <c r="J152" s="24" t="n">
        <v>0.22</v>
      </c>
      <c r="K152" s="26" t="n">
        <f aca="false">MAX(0,MIN(Instellingen!$B$8*MIN(F152,Instellingen!$B$4*G152),MIN(H152,Instellingen!$B$4*I152)/Instellingen!$B$8))</f>
        <v>0.227683991532123</v>
      </c>
      <c r="L152" s="26" t="n">
        <f aca="false">IF($E152="Winter",$K152,"")</f>
        <v>0.227683991532123</v>
      </c>
      <c r="M152" s="26" t="str">
        <f aca="false">IF($E152="Lente",$K152,"")</f>
        <v/>
      </c>
      <c r="N152" s="26" t="str">
        <f aca="false">IF($E152="Zomer",$K152,"")</f>
        <v/>
      </c>
      <c r="O152" s="26" t="str">
        <f aca="false">IF($E152="Herfst",$K152,"")</f>
        <v/>
      </c>
    </row>
    <row r="153" customFormat="false" ht="15" hidden="false" customHeight="true" outlineLevel="0" collapsed="false">
      <c r="A153" s="23" t="n">
        <v>46049</v>
      </c>
      <c r="B153" s="24" t="n">
        <v>20.33</v>
      </c>
      <c r="C153" s="24" t="n">
        <v>0.36</v>
      </c>
      <c r="D153" s="24" t="n">
        <v>18.21</v>
      </c>
      <c r="E153" s="24" t="s">
        <v>21</v>
      </c>
      <c r="F153" s="24" t="n">
        <v>0.36</v>
      </c>
      <c r="G153" s="25" t="n">
        <v>3</v>
      </c>
      <c r="H153" s="24" t="n">
        <v>17.64</v>
      </c>
      <c r="I153" s="25" t="n">
        <v>23</v>
      </c>
      <c r="J153" s="24" t="n">
        <v>0.31</v>
      </c>
      <c r="K153" s="26" t="n">
        <f aca="false">MAX(0,MIN(Instellingen!$B$8*MIN(F153,Instellingen!$B$4*G153),MIN(H153,Instellingen!$B$4*I153)/Instellingen!$B$8))</f>
        <v>0.341525987298185</v>
      </c>
      <c r="L153" s="26" t="n">
        <f aca="false">IF($E153="Winter",$K153,"")</f>
        <v>0.341525987298185</v>
      </c>
      <c r="M153" s="26" t="str">
        <f aca="false">IF($E153="Lente",$K153,"")</f>
        <v/>
      </c>
      <c r="N153" s="26" t="str">
        <f aca="false">IF($E153="Zomer",$K153,"")</f>
        <v/>
      </c>
      <c r="O153" s="26" t="str">
        <f aca="false">IF($E153="Herfst",$K153,"")</f>
        <v/>
      </c>
    </row>
    <row r="154" customFormat="false" ht="15" hidden="false" customHeight="true" outlineLevel="0" collapsed="false">
      <c r="A154" s="23" t="n">
        <v>46050</v>
      </c>
      <c r="B154" s="24" t="n">
        <v>33.96</v>
      </c>
      <c r="C154" s="24" t="n">
        <v>0</v>
      </c>
      <c r="D154" s="24" t="n">
        <v>33.96</v>
      </c>
      <c r="E154" s="24" t="s">
        <v>21</v>
      </c>
      <c r="F154" s="24" t="n">
        <v>0</v>
      </c>
      <c r="G154" s="25" t="n">
        <v>0</v>
      </c>
      <c r="H154" s="24" t="n">
        <v>0</v>
      </c>
      <c r="I154" s="25" t="n">
        <v>0</v>
      </c>
      <c r="J154" s="24" t="n">
        <v>0</v>
      </c>
      <c r="K154" s="26" t="n">
        <f aca="false">MAX(0,MIN(Instellingen!$B$8*MIN(F154,Instellingen!$B$4*G154),MIN(H154,Instellingen!$B$4*I154)/Instellingen!$B$8))</f>
        <v>0</v>
      </c>
      <c r="L154" s="26" t="n">
        <f aca="false">IF($E154="Winter",$K154,"")</f>
        <v>0</v>
      </c>
      <c r="M154" s="26" t="str">
        <f aca="false">IF($E154="Lente",$K154,"")</f>
        <v/>
      </c>
      <c r="N154" s="26" t="str">
        <f aca="false">IF($E154="Zomer",$K154,"")</f>
        <v/>
      </c>
      <c r="O154" s="26" t="str">
        <f aca="false">IF($E154="Herfst",$K154,"")</f>
        <v/>
      </c>
    </row>
    <row r="155" customFormat="false" ht="15" hidden="false" customHeight="true" outlineLevel="0" collapsed="false">
      <c r="A155" s="23" t="n">
        <v>46051</v>
      </c>
      <c r="B155" s="24" t="n">
        <v>14.43</v>
      </c>
      <c r="C155" s="24" t="n">
        <v>0</v>
      </c>
      <c r="D155" s="24" t="n">
        <v>14.43</v>
      </c>
      <c r="E155" s="24" t="s">
        <v>21</v>
      </c>
      <c r="F155" s="24" t="n">
        <v>0</v>
      </c>
      <c r="G155" s="25" t="n">
        <v>0</v>
      </c>
      <c r="H155" s="24" t="n">
        <v>0</v>
      </c>
      <c r="I155" s="25" t="n">
        <v>0</v>
      </c>
      <c r="J155" s="24" t="n">
        <v>0</v>
      </c>
      <c r="K155" s="26" t="n">
        <f aca="false">MAX(0,MIN(Instellingen!$B$8*MIN(F155,Instellingen!$B$4*G155),MIN(H155,Instellingen!$B$4*I155)/Instellingen!$B$8))</f>
        <v>0</v>
      </c>
      <c r="L155" s="26" t="n">
        <f aca="false">IF($E155="Winter",$K155,"")</f>
        <v>0</v>
      </c>
      <c r="M155" s="26" t="str">
        <f aca="false">IF($E155="Lente",$K155,"")</f>
        <v/>
      </c>
      <c r="N155" s="26" t="str">
        <f aca="false">IF($E155="Zomer",$K155,"")</f>
        <v/>
      </c>
      <c r="O155" s="26" t="str">
        <f aca="false">IF($E155="Herfst",$K155,"")</f>
        <v/>
      </c>
    </row>
    <row r="156" customFormat="false" ht="15" hidden="false" customHeight="true" outlineLevel="0" collapsed="false">
      <c r="A156" s="23" t="n">
        <v>46052</v>
      </c>
      <c r="B156" s="24" t="n">
        <v>18.64</v>
      </c>
      <c r="C156" s="24" t="n">
        <v>0.53</v>
      </c>
      <c r="D156" s="24" t="n">
        <v>17.82</v>
      </c>
      <c r="E156" s="24" t="s">
        <v>21</v>
      </c>
      <c r="F156" s="24" t="n">
        <v>0.53</v>
      </c>
      <c r="G156" s="25" t="n">
        <v>3</v>
      </c>
      <c r="H156" s="24" t="n">
        <v>17.89</v>
      </c>
      <c r="I156" s="25" t="n">
        <v>21</v>
      </c>
      <c r="J156" s="24" t="n">
        <v>0.49</v>
      </c>
      <c r="K156" s="26" t="n">
        <f aca="false">MAX(0,MIN(Instellingen!$B$8*MIN(F156,Instellingen!$B$4*G156),MIN(H156,Instellingen!$B$4*I156)/Instellingen!$B$8))</f>
        <v>0.502802147966772</v>
      </c>
      <c r="L156" s="26" t="n">
        <f aca="false">IF($E156="Winter",$K156,"")</f>
        <v>0.502802147966772</v>
      </c>
      <c r="M156" s="26" t="str">
        <f aca="false">IF($E156="Lente",$K156,"")</f>
        <v/>
      </c>
      <c r="N156" s="26" t="str">
        <f aca="false">IF($E156="Zomer",$K156,"")</f>
        <v/>
      </c>
      <c r="O156" s="26" t="str">
        <f aca="false">IF($E156="Herfst",$K156,"")</f>
        <v/>
      </c>
    </row>
    <row r="157" customFormat="false" ht="15" hidden="false" customHeight="true" outlineLevel="0" collapsed="false">
      <c r="A157" s="23" t="n">
        <v>46053</v>
      </c>
      <c r="B157" s="24" t="n">
        <v>13.15</v>
      </c>
      <c r="C157" s="24" t="n">
        <v>0.32</v>
      </c>
      <c r="D157" s="24" t="n">
        <v>9.83</v>
      </c>
      <c r="E157" s="24" t="s">
        <v>21</v>
      </c>
      <c r="F157" s="24" t="n">
        <v>0.32</v>
      </c>
      <c r="G157" s="25" t="n">
        <v>4</v>
      </c>
      <c r="H157" s="24" t="n">
        <v>8.38</v>
      </c>
      <c r="I157" s="25" t="n">
        <v>18</v>
      </c>
      <c r="J157" s="24" t="n">
        <v>0.3</v>
      </c>
      <c r="K157" s="26" t="n">
        <f aca="false">MAX(0,MIN(Instellingen!$B$8*MIN(F157,Instellingen!$B$4*G157),MIN(H157,Instellingen!$B$4*I157)/Instellingen!$B$8))</f>
        <v>0.303578655376164</v>
      </c>
      <c r="L157" s="26" t="n">
        <f aca="false">IF($E157="Winter",$K157,"")</f>
        <v>0.303578655376164</v>
      </c>
      <c r="M157" s="26" t="str">
        <f aca="false">IF($E157="Lente",$K157,"")</f>
        <v/>
      </c>
      <c r="N157" s="26" t="str">
        <f aca="false">IF($E157="Zomer",$K157,"")</f>
        <v/>
      </c>
      <c r="O157" s="26" t="str">
        <f aca="false">IF($E157="Herfst",$K157,"")</f>
        <v/>
      </c>
    </row>
    <row r="158" customFormat="false" ht="15" hidden="false" customHeight="true" outlineLevel="0" collapsed="false">
      <c r="A158" s="23" t="n">
        <v>46054</v>
      </c>
      <c r="B158" s="24" t="n">
        <v>14.3</v>
      </c>
      <c r="C158" s="24" t="n">
        <v>0.93</v>
      </c>
      <c r="D158" s="24" t="n">
        <v>12.24</v>
      </c>
      <c r="E158" s="24" t="s">
        <v>21</v>
      </c>
      <c r="F158" s="24" t="n">
        <v>0.93</v>
      </c>
      <c r="G158" s="25" t="n">
        <v>6</v>
      </c>
      <c r="H158" s="24" t="n">
        <v>14.61</v>
      </c>
      <c r="I158" s="25" t="n">
        <v>18</v>
      </c>
      <c r="J158" s="24" t="n">
        <v>0.83</v>
      </c>
      <c r="K158" s="26" t="n">
        <f aca="false">MAX(0,MIN(Instellingen!$B$8*MIN(F158,Instellingen!$B$4*G158),MIN(H158,Instellingen!$B$4*I158)/Instellingen!$B$8))</f>
        <v>0.882275467186978</v>
      </c>
      <c r="L158" s="26" t="n">
        <f aca="false">IF($E158="Winter",$K158,"")</f>
        <v>0.882275467186978</v>
      </c>
      <c r="M158" s="26" t="str">
        <f aca="false">IF($E158="Lente",$K158,"")</f>
        <v/>
      </c>
      <c r="N158" s="26" t="str">
        <f aca="false">IF($E158="Zomer",$K158,"")</f>
        <v/>
      </c>
      <c r="O158" s="26" t="str">
        <f aca="false">IF($E158="Herfst",$K158,"")</f>
        <v/>
      </c>
    </row>
    <row r="159" customFormat="false" ht="15" hidden="false" customHeight="true" outlineLevel="0" collapsed="false">
      <c r="A159" s="23" t="n">
        <v>46055</v>
      </c>
      <c r="B159" s="24" t="n">
        <v>13.6</v>
      </c>
      <c r="C159" s="24" t="n">
        <v>4.14</v>
      </c>
      <c r="D159" s="24" t="n">
        <v>11.79</v>
      </c>
      <c r="E159" s="24" t="s">
        <v>21</v>
      </c>
      <c r="F159" s="24" t="n">
        <v>4.14</v>
      </c>
      <c r="G159" s="25" t="n">
        <v>8</v>
      </c>
      <c r="H159" s="24" t="n">
        <v>15.59</v>
      </c>
      <c r="I159" s="25" t="n">
        <v>19</v>
      </c>
      <c r="J159" s="24" t="n">
        <v>3.89</v>
      </c>
      <c r="K159" s="26" t="n">
        <f aca="false">MAX(0,MIN(Instellingen!$B$8*MIN(F159,Instellingen!$B$4*G159),MIN(H159,Instellingen!$B$4*I159)/Instellingen!$B$8))</f>
        <v>3.92754885392913</v>
      </c>
      <c r="L159" s="26" t="n">
        <f aca="false">IF($E159="Winter",$K159,"")</f>
        <v>3.92754885392913</v>
      </c>
      <c r="M159" s="26" t="str">
        <f aca="false">IF($E159="Lente",$K159,"")</f>
        <v/>
      </c>
      <c r="N159" s="26" t="str">
        <f aca="false">IF($E159="Zomer",$K159,"")</f>
        <v/>
      </c>
      <c r="O159" s="26" t="str">
        <f aca="false">IF($E159="Herfst",$K159,"")</f>
        <v/>
      </c>
    </row>
    <row r="160" customFormat="false" ht="15" hidden="false" customHeight="true" outlineLevel="0" collapsed="false">
      <c r="A160" s="23" t="n">
        <v>46056</v>
      </c>
      <c r="B160" s="24" t="n">
        <v>30.11</v>
      </c>
      <c r="C160" s="24" t="n">
        <v>0.33</v>
      </c>
      <c r="D160" s="24" t="n">
        <v>28.77</v>
      </c>
      <c r="E160" s="24" t="s">
        <v>21</v>
      </c>
      <c r="F160" s="24" t="n">
        <v>0.32</v>
      </c>
      <c r="G160" s="25" t="n">
        <v>4</v>
      </c>
      <c r="H160" s="24" t="n">
        <v>23.06</v>
      </c>
      <c r="I160" s="25" t="n">
        <v>17</v>
      </c>
      <c r="J160" s="24" t="n">
        <v>0.23</v>
      </c>
      <c r="K160" s="26" t="n">
        <f aca="false">MAX(0,MIN(Instellingen!$B$8*MIN(F160,Instellingen!$B$4*G160),MIN(H160,Instellingen!$B$4*I160)/Instellingen!$B$8))</f>
        <v>0.303578655376164</v>
      </c>
      <c r="L160" s="26" t="n">
        <f aca="false">IF($E160="Winter",$K160,"")</f>
        <v>0.303578655376164</v>
      </c>
      <c r="M160" s="26" t="str">
        <f aca="false">IF($E160="Lente",$K160,"")</f>
        <v/>
      </c>
      <c r="N160" s="26" t="str">
        <f aca="false">IF($E160="Zomer",$K160,"")</f>
        <v/>
      </c>
      <c r="O160" s="26" t="str">
        <f aca="false">IF($E160="Herfst",$K160,"")</f>
        <v/>
      </c>
    </row>
    <row r="161" customFormat="false" ht="15" hidden="false" customHeight="true" outlineLevel="0" collapsed="false">
      <c r="A161" s="23" t="n">
        <v>46057</v>
      </c>
      <c r="B161" s="24" t="n">
        <v>10.23</v>
      </c>
      <c r="C161" s="24" t="n">
        <v>10.68</v>
      </c>
      <c r="D161" s="24" t="n">
        <v>10.11</v>
      </c>
      <c r="E161" s="24" t="s">
        <v>21</v>
      </c>
      <c r="F161" s="24" t="n">
        <v>10.68</v>
      </c>
      <c r="G161" s="25" t="n">
        <v>8</v>
      </c>
      <c r="H161" s="24" t="n">
        <v>10.39</v>
      </c>
      <c r="I161" s="25" t="n">
        <v>17</v>
      </c>
      <c r="J161" s="24" t="n">
        <v>10.03</v>
      </c>
      <c r="K161" s="26" t="n">
        <f aca="false">MAX(0,MIN(Instellingen!$B$8*MIN(F161,Instellingen!$B$4*G161),MIN(H161,Instellingen!$B$4*I161)/Instellingen!$B$8))</f>
        <v>10.1319376231795</v>
      </c>
      <c r="L161" s="26" t="n">
        <f aca="false">IF($E161="Winter",$K161,"")</f>
        <v>10.1319376231795</v>
      </c>
      <c r="M161" s="26" t="str">
        <f aca="false">IF($E161="Lente",$K161,"")</f>
        <v/>
      </c>
      <c r="N161" s="26" t="str">
        <f aca="false">IF($E161="Zomer",$K161,"")</f>
        <v/>
      </c>
      <c r="O161" s="26" t="str">
        <f aca="false">IF($E161="Herfst",$K161,"")</f>
        <v/>
      </c>
    </row>
    <row r="162" customFormat="false" ht="15" hidden="false" customHeight="true" outlineLevel="0" collapsed="false">
      <c r="A162" s="23" t="n">
        <v>46058</v>
      </c>
      <c r="B162" s="24" t="n">
        <v>12.88</v>
      </c>
      <c r="C162" s="24" t="n">
        <v>2.23</v>
      </c>
      <c r="D162" s="24" t="n">
        <v>11.99</v>
      </c>
      <c r="E162" s="24" t="s">
        <v>21</v>
      </c>
      <c r="F162" s="24" t="n">
        <v>2.23</v>
      </c>
      <c r="G162" s="25" t="n">
        <v>6</v>
      </c>
      <c r="H162" s="24" t="n">
        <v>17.54</v>
      </c>
      <c r="I162" s="25" t="n">
        <v>20</v>
      </c>
      <c r="J162" s="24" t="n">
        <v>2.09</v>
      </c>
      <c r="K162" s="26" t="n">
        <f aca="false">MAX(0,MIN(Instellingen!$B$8*MIN(F162,Instellingen!$B$4*G162),MIN(H162,Instellingen!$B$4*I162)/Instellingen!$B$8))</f>
        <v>2.11556375465265</v>
      </c>
      <c r="L162" s="26" t="n">
        <f aca="false">IF($E162="Winter",$K162,"")</f>
        <v>2.11556375465265</v>
      </c>
      <c r="M162" s="26" t="str">
        <f aca="false">IF($E162="Lente",$K162,"")</f>
        <v/>
      </c>
      <c r="N162" s="26" t="str">
        <f aca="false">IF($E162="Zomer",$K162,"")</f>
        <v/>
      </c>
      <c r="O162" s="26" t="str">
        <f aca="false">IF($E162="Herfst",$K162,"")</f>
        <v/>
      </c>
    </row>
    <row r="163" customFormat="false" ht="15" hidden="false" customHeight="true" outlineLevel="0" collapsed="false">
      <c r="A163" s="23" t="n">
        <v>46059</v>
      </c>
      <c r="B163" s="24" t="n">
        <v>27.32</v>
      </c>
      <c r="C163" s="24" t="n">
        <v>0</v>
      </c>
      <c r="D163" s="24" t="n">
        <v>27.32</v>
      </c>
      <c r="E163" s="24" t="s">
        <v>21</v>
      </c>
      <c r="F163" s="24" t="n">
        <v>0</v>
      </c>
      <c r="G163" s="25" t="n">
        <v>0</v>
      </c>
      <c r="H163" s="24" t="n">
        <v>0</v>
      </c>
      <c r="I163" s="25" t="n">
        <v>0</v>
      </c>
      <c r="J163" s="24" t="n">
        <v>0</v>
      </c>
      <c r="K163" s="26" t="n">
        <f aca="false">MAX(0,MIN(Instellingen!$B$8*MIN(F163,Instellingen!$B$4*G163),MIN(H163,Instellingen!$B$4*I163)/Instellingen!$B$8))</f>
        <v>0</v>
      </c>
      <c r="L163" s="26" t="n">
        <f aca="false">IF($E163="Winter",$K163,"")</f>
        <v>0</v>
      </c>
      <c r="M163" s="26" t="str">
        <f aca="false">IF($E163="Lente",$K163,"")</f>
        <v/>
      </c>
      <c r="N163" s="26" t="str">
        <f aca="false">IF($E163="Zomer",$K163,"")</f>
        <v/>
      </c>
      <c r="O163" s="26" t="str">
        <f aca="false">IF($E163="Herfst",$K163,"")</f>
        <v/>
      </c>
    </row>
    <row r="164" customFormat="false" ht="15" hidden="false" customHeight="true" outlineLevel="0" collapsed="false">
      <c r="A164" s="23" t="n">
        <v>46060</v>
      </c>
      <c r="B164" s="24" t="n">
        <v>10.75</v>
      </c>
      <c r="C164" s="24" t="n">
        <v>5.84</v>
      </c>
      <c r="D164" s="24" t="n">
        <v>9.26</v>
      </c>
      <c r="E164" s="24" t="s">
        <v>21</v>
      </c>
      <c r="F164" s="24" t="n">
        <v>5.84</v>
      </c>
      <c r="G164" s="25" t="n">
        <v>8</v>
      </c>
      <c r="H164" s="24" t="n">
        <v>8</v>
      </c>
      <c r="I164" s="25" t="n">
        <v>15</v>
      </c>
      <c r="J164" s="24" t="n">
        <v>5.48</v>
      </c>
      <c r="K164" s="26" t="n">
        <f aca="false">MAX(0,MIN(Instellingen!$B$8*MIN(F164,Instellingen!$B$4*G164),MIN(H164,Instellingen!$B$4*I164)/Instellingen!$B$8))</f>
        <v>5.540310460615</v>
      </c>
      <c r="L164" s="26" t="n">
        <f aca="false">IF($E164="Winter",$K164,"")</f>
        <v>5.540310460615</v>
      </c>
      <c r="M164" s="26" t="str">
        <f aca="false">IF($E164="Lente",$K164,"")</f>
        <v/>
      </c>
      <c r="N164" s="26" t="str">
        <f aca="false">IF($E164="Zomer",$K164,"")</f>
        <v/>
      </c>
      <c r="O164" s="26" t="str">
        <f aca="false">IF($E164="Herfst",$K164,"")</f>
        <v/>
      </c>
    </row>
    <row r="165" customFormat="false" ht="15" hidden="false" customHeight="true" outlineLevel="0" collapsed="false">
      <c r="A165" s="23" t="n">
        <v>46061</v>
      </c>
      <c r="B165" s="24" t="n">
        <v>9.87</v>
      </c>
      <c r="C165" s="24" t="n">
        <v>3.54</v>
      </c>
      <c r="D165" s="24" t="n">
        <v>6.21</v>
      </c>
      <c r="E165" s="24" t="s">
        <v>21</v>
      </c>
      <c r="F165" s="24" t="n">
        <v>3.54</v>
      </c>
      <c r="G165" s="25" t="n">
        <v>8</v>
      </c>
      <c r="H165" s="24" t="n">
        <v>7.59</v>
      </c>
      <c r="I165" s="25" t="n">
        <v>19</v>
      </c>
      <c r="J165" s="24" t="n">
        <v>3.33</v>
      </c>
      <c r="K165" s="26" t="n">
        <f aca="false">MAX(0,MIN(Instellingen!$B$8*MIN(F165,Instellingen!$B$4*G165),MIN(H165,Instellingen!$B$4*I165)/Instellingen!$B$8))</f>
        <v>3.35833887509882</v>
      </c>
      <c r="L165" s="26" t="n">
        <f aca="false">IF($E165="Winter",$K165,"")</f>
        <v>3.35833887509882</v>
      </c>
      <c r="M165" s="26" t="str">
        <f aca="false">IF($E165="Lente",$K165,"")</f>
        <v/>
      </c>
      <c r="N165" s="26" t="str">
        <f aca="false">IF($E165="Zomer",$K165,"")</f>
        <v/>
      </c>
      <c r="O165" s="26" t="str">
        <f aca="false">IF($E165="Herfst",$K165,"")</f>
        <v/>
      </c>
    </row>
    <row r="166" customFormat="false" ht="15" hidden="false" customHeight="true" outlineLevel="0" collapsed="false">
      <c r="A166" s="23" t="n">
        <v>46062</v>
      </c>
      <c r="B166" s="24" t="n">
        <v>3.87</v>
      </c>
      <c r="C166" s="24" t="n">
        <v>3.5</v>
      </c>
      <c r="D166" s="24" t="n">
        <v>3.87</v>
      </c>
      <c r="E166" s="24" t="s">
        <v>21</v>
      </c>
      <c r="F166" s="24" t="n">
        <v>3.5</v>
      </c>
      <c r="G166" s="25" t="n">
        <v>6</v>
      </c>
      <c r="H166" s="24" t="n">
        <v>14.84</v>
      </c>
      <c r="I166" s="25" t="n">
        <v>16</v>
      </c>
      <c r="J166" s="24" t="n">
        <v>3.28</v>
      </c>
      <c r="K166" s="26" t="n">
        <f aca="false">MAX(0,MIN(Instellingen!$B$8*MIN(F166,Instellingen!$B$4*G166),MIN(H166,Instellingen!$B$4*I166)/Instellingen!$B$8))</f>
        <v>3.3203915431768</v>
      </c>
      <c r="L166" s="26" t="n">
        <f aca="false">IF($E166="Winter",$K166,"")</f>
        <v>3.3203915431768</v>
      </c>
      <c r="M166" s="26" t="str">
        <f aca="false">IF($E166="Lente",$K166,"")</f>
        <v/>
      </c>
      <c r="N166" s="26" t="str">
        <f aca="false">IF($E166="Zomer",$K166,"")</f>
        <v/>
      </c>
      <c r="O166" s="26" t="str">
        <f aca="false">IF($E166="Herfst",$K166,"")</f>
        <v/>
      </c>
    </row>
    <row r="167" customFormat="false" ht="15" hidden="false" customHeight="true" outlineLevel="0" collapsed="false">
      <c r="A167" s="23" t="n">
        <v>46063</v>
      </c>
      <c r="B167" s="24" t="n">
        <v>34.51</v>
      </c>
      <c r="C167" s="24" t="n">
        <v>0.13</v>
      </c>
      <c r="D167" s="24" t="n">
        <v>33.6</v>
      </c>
      <c r="E167" s="24" t="s">
        <v>21</v>
      </c>
      <c r="F167" s="24" t="n">
        <v>0.13</v>
      </c>
      <c r="G167" s="25" t="n">
        <v>2</v>
      </c>
      <c r="H167" s="24" t="n">
        <v>25.16</v>
      </c>
      <c r="I167" s="25" t="n">
        <v>24</v>
      </c>
      <c r="J167" s="24" t="n">
        <v>0.12</v>
      </c>
      <c r="K167" s="26" t="n">
        <f aca="false">MAX(0,MIN(Instellingen!$B$8*MIN(F167,Instellingen!$B$4*G167),MIN(H167,Instellingen!$B$4*I167)/Instellingen!$B$8))</f>
        <v>0.123328828746567</v>
      </c>
      <c r="L167" s="26" t="n">
        <f aca="false">IF($E167="Winter",$K167,"")</f>
        <v>0.123328828746567</v>
      </c>
      <c r="M167" s="26" t="str">
        <f aca="false">IF($E167="Lente",$K167,"")</f>
        <v/>
      </c>
      <c r="N167" s="26" t="str">
        <f aca="false">IF($E167="Zomer",$K167,"")</f>
        <v/>
      </c>
      <c r="O167" s="26" t="str">
        <f aca="false">IF($E167="Herfst",$K167,"")</f>
        <v/>
      </c>
    </row>
    <row r="168" customFormat="false" ht="15" hidden="false" customHeight="true" outlineLevel="0" collapsed="false">
      <c r="A168" s="23" t="n">
        <v>46064</v>
      </c>
      <c r="B168" s="24" t="n">
        <v>23.19</v>
      </c>
      <c r="C168" s="24" t="n">
        <v>0.13</v>
      </c>
      <c r="D168" s="24" t="n">
        <v>21.35</v>
      </c>
      <c r="E168" s="24" t="s">
        <v>21</v>
      </c>
      <c r="F168" s="24" t="n">
        <v>0.13</v>
      </c>
      <c r="G168" s="25" t="n">
        <v>3</v>
      </c>
      <c r="H168" s="24" t="n">
        <v>25.06</v>
      </c>
      <c r="I168" s="25" t="n">
        <v>20</v>
      </c>
      <c r="J168" s="24" t="n">
        <v>0.12</v>
      </c>
      <c r="K168" s="26" t="n">
        <f aca="false">MAX(0,MIN(Instellingen!$B$8*MIN(F168,Instellingen!$B$4*G168),MIN(H168,Instellingen!$B$4*I168)/Instellingen!$B$8))</f>
        <v>0.123328828746567</v>
      </c>
      <c r="L168" s="26" t="n">
        <f aca="false">IF($E168="Winter",$K168,"")</f>
        <v>0.123328828746567</v>
      </c>
      <c r="M168" s="26" t="str">
        <f aca="false">IF($E168="Lente",$K168,"")</f>
        <v/>
      </c>
      <c r="N168" s="26" t="str">
        <f aca="false">IF($E168="Zomer",$K168,"")</f>
        <v/>
      </c>
      <c r="O168" s="26" t="str">
        <f aca="false">IF($E168="Herfst",$K168,"")</f>
        <v/>
      </c>
    </row>
    <row r="169" customFormat="false" ht="15" hidden="false" customHeight="true" outlineLevel="0" collapsed="false">
      <c r="A169" s="23" t="n">
        <v>46065</v>
      </c>
      <c r="B169" s="24" t="n">
        <v>19.29</v>
      </c>
      <c r="C169" s="24" t="n">
        <v>2.2</v>
      </c>
      <c r="D169" s="24" t="n">
        <v>18.72</v>
      </c>
      <c r="E169" s="24" t="s">
        <v>21</v>
      </c>
      <c r="F169" s="24" t="n">
        <v>2.21</v>
      </c>
      <c r="G169" s="25" t="n">
        <v>6</v>
      </c>
      <c r="H169" s="24" t="n">
        <v>17</v>
      </c>
      <c r="I169" s="25" t="n">
        <v>20</v>
      </c>
      <c r="J169" s="24" t="n">
        <v>2.07</v>
      </c>
      <c r="K169" s="26" t="n">
        <f aca="false">MAX(0,MIN(Instellingen!$B$8*MIN(F169,Instellingen!$B$4*G169),MIN(H169,Instellingen!$B$4*I169)/Instellingen!$B$8))</f>
        <v>2.09659008869164</v>
      </c>
      <c r="L169" s="26" t="n">
        <f aca="false">IF($E169="Winter",$K169,"")</f>
        <v>2.09659008869164</v>
      </c>
      <c r="M169" s="26" t="str">
        <f aca="false">IF($E169="Lente",$K169,"")</f>
        <v/>
      </c>
      <c r="N169" s="26" t="str">
        <f aca="false">IF($E169="Zomer",$K169,"")</f>
        <v/>
      </c>
      <c r="O169" s="26" t="str">
        <f aca="false">IF($E169="Herfst",$K169,"")</f>
        <v/>
      </c>
    </row>
    <row r="170" customFormat="false" ht="15" hidden="false" customHeight="true" outlineLevel="0" collapsed="false">
      <c r="A170" s="23" t="n">
        <v>46066</v>
      </c>
      <c r="B170" s="24" t="n">
        <v>15.78</v>
      </c>
      <c r="C170" s="24" t="n">
        <v>0.01</v>
      </c>
      <c r="D170" s="24" t="n">
        <v>15.78</v>
      </c>
      <c r="E170" s="24" t="s">
        <v>21</v>
      </c>
      <c r="F170" s="24" t="n">
        <v>0</v>
      </c>
      <c r="G170" s="25" t="n">
        <v>0</v>
      </c>
      <c r="H170" s="24" t="n">
        <v>0</v>
      </c>
      <c r="I170" s="25" t="n">
        <v>0</v>
      </c>
      <c r="J170" s="24" t="n">
        <v>0</v>
      </c>
      <c r="K170" s="26" t="n">
        <f aca="false">MAX(0,MIN(Instellingen!$B$8*MIN(F170,Instellingen!$B$4*G170),MIN(H170,Instellingen!$B$4*I170)/Instellingen!$B$8))</f>
        <v>0</v>
      </c>
      <c r="L170" s="26" t="n">
        <f aca="false">IF($E170="Winter",$K170,"")</f>
        <v>0</v>
      </c>
      <c r="M170" s="26" t="str">
        <f aca="false">IF($E170="Lente",$K170,"")</f>
        <v/>
      </c>
      <c r="N170" s="26" t="str">
        <f aca="false">IF($E170="Zomer",$K170,"")</f>
        <v/>
      </c>
      <c r="O170" s="26" t="str">
        <f aca="false">IF($E170="Herfst",$K170,"")</f>
        <v/>
      </c>
    </row>
    <row r="171" customFormat="false" ht="15" hidden="false" customHeight="true" outlineLevel="0" collapsed="false">
      <c r="A171" s="23" t="n">
        <v>46067</v>
      </c>
      <c r="B171" s="24" t="n">
        <v>19.09</v>
      </c>
      <c r="C171" s="24" t="n">
        <v>9.79</v>
      </c>
      <c r="D171" s="24" t="n">
        <v>16.2</v>
      </c>
      <c r="E171" s="24" t="s">
        <v>21</v>
      </c>
      <c r="F171" s="24" t="n">
        <v>9.79</v>
      </c>
      <c r="G171" s="25" t="n">
        <v>9</v>
      </c>
      <c r="H171" s="24" t="n">
        <v>15.39</v>
      </c>
      <c r="I171" s="25" t="n">
        <v>14</v>
      </c>
      <c r="J171" s="24" t="n">
        <v>9.2</v>
      </c>
      <c r="K171" s="26" t="n">
        <f aca="false">MAX(0,MIN(Instellingen!$B$8*MIN(F171,Instellingen!$B$4*G171),MIN(H171,Instellingen!$B$4*I171)/Instellingen!$B$8))</f>
        <v>9.28760948791453</v>
      </c>
      <c r="L171" s="26" t="n">
        <f aca="false">IF($E171="Winter",$K171,"")</f>
        <v>9.28760948791453</v>
      </c>
      <c r="M171" s="26" t="str">
        <f aca="false">IF($E171="Lente",$K171,"")</f>
        <v/>
      </c>
      <c r="N171" s="26" t="str">
        <f aca="false">IF($E171="Zomer",$K171,"")</f>
        <v/>
      </c>
      <c r="O171" s="26" t="str">
        <f aca="false">IF($E171="Herfst",$K171,"")</f>
        <v/>
      </c>
    </row>
    <row r="172" customFormat="false" ht="15" hidden="false" customHeight="true" outlineLevel="0" collapsed="false">
      <c r="A172" s="23" t="n">
        <v>46068</v>
      </c>
      <c r="B172" s="24" t="n">
        <v>16.25</v>
      </c>
      <c r="C172" s="24" t="n">
        <v>3.77</v>
      </c>
      <c r="D172" s="24" t="n">
        <v>13.12</v>
      </c>
      <c r="E172" s="24" t="s">
        <v>21</v>
      </c>
      <c r="F172" s="24" t="n">
        <v>3.77</v>
      </c>
      <c r="G172" s="25" t="n">
        <v>6</v>
      </c>
      <c r="H172" s="24" t="n">
        <v>13.23</v>
      </c>
      <c r="I172" s="25" t="n">
        <v>18</v>
      </c>
      <c r="J172" s="24" t="n">
        <v>3.54</v>
      </c>
      <c r="K172" s="26" t="n">
        <f aca="false">MAX(0,MIN(Instellingen!$B$8*MIN(F172,Instellingen!$B$4*G172),MIN(H172,Instellingen!$B$4*I172)/Instellingen!$B$8))</f>
        <v>3.57653603365044</v>
      </c>
      <c r="L172" s="26" t="n">
        <f aca="false">IF($E172="Winter",$K172,"")</f>
        <v>3.57653603365044</v>
      </c>
      <c r="M172" s="26" t="str">
        <f aca="false">IF($E172="Lente",$K172,"")</f>
        <v/>
      </c>
      <c r="N172" s="26" t="str">
        <f aca="false">IF($E172="Zomer",$K172,"")</f>
        <v/>
      </c>
      <c r="O172" s="26" t="str">
        <f aca="false">IF($E172="Herfst",$K172,"")</f>
        <v/>
      </c>
    </row>
    <row r="173" customFormat="false" ht="15" hidden="false" customHeight="true" outlineLevel="0" collapsed="false">
      <c r="A173" s="23" t="n">
        <v>46069</v>
      </c>
      <c r="B173" s="24" t="n">
        <v>16.36</v>
      </c>
      <c r="C173" s="24" t="n">
        <v>3.81</v>
      </c>
      <c r="D173" s="24" t="n">
        <v>12.68</v>
      </c>
      <c r="E173" s="24" t="s">
        <v>21</v>
      </c>
      <c r="F173" s="24" t="n">
        <v>3.81</v>
      </c>
      <c r="G173" s="25" t="n">
        <v>9</v>
      </c>
      <c r="H173" s="24" t="n">
        <v>13.65</v>
      </c>
      <c r="I173" s="25" t="n">
        <v>16</v>
      </c>
      <c r="J173" s="24" t="n">
        <v>3.58</v>
      </c>
      <c r="K173" s="26" t="n">
        <f aca="false">MAX(0,MIN(Instellingen!$B$8*MIN(F173,Instellingen!$B$4*G173),MIN(H173,Instellingen!$B$4*I173)/Instellingen!$B$8))</f>
        <v>3.61448336557246</v>
      </c>
      <c r="L173" s="26" t="n">
        <f aca="false">IF($E173="Winter",$K173,"")</f>
        <v>3.61448336557246</v>
      </c>
      <c r="M173" s="26" t="str">
        <f aca="false">IF($E173="Lente",$K173,"")</f>
        <v/>
      </c>
      <c r="N173" s="26" t="str">
        <f aca="false">IF($E173="Zomer",$K173,"")</f>
        <v/>
      </c>
      <c r="O173" s="26" t="str">
        <f aca="false">IF($E173="Herfst",$K173,"")</f>
        <v/>
      </c>
    </row>
    <row r="174" customFormat="false" ht="15" hidden="false" customHeight="true" outlineLevel="0" collapsed="false">
      <c r="A174" s="23" t="n">
        <v>46070</v>
      </c>
      <c r="B174" s="24" t="n">
        <v>23.3</v>
      </c>
      <c r="C174" s="24" t="n">
        <v>0.74</v>
      </c>
      <c r="D174" s="24" t="n">
        <v>12.56</v>
      </c>
      <c r="E174" s="24" t="s">
        <v>21</v>
      </c>
      <c r="F174" s="24" t="n">
        <v>0.74</v>
      </c>
      <c r="G174" s="25" t="n">
        <v>7</v>
      </c>
      <c r="H174" s="24" t="n">
        <v>11.65</v>
      </c>
      <c r="I174" s="25" t="n">
        <v>16</v>
      </c>
      <c r="J174" s="24" t="n">
        <v>0.67</v>
      </c>
      <c r="K174" s="26" t="n">
        <f aca="false">MAX(0,MIN(Instellingen!$B$8*MIN(F174,Instellingen!$B$4*G174),MIN(H174,Instellingen!$B$4*I174)/Instellingen!$B$8))</f>
        <v>0.70202564055738</v>
      </c>
      <c r="L174" s="26" t="n">
        <f aca="false">IF($E174="Winter",$K174,"")</f>
        <v>0.70202564055738</v>
      </c>
      <c r="M174" s="26" t="str">
        <f aca="false">IF($E174="Lente",$K174,"")</f>
        <v/>
      </c>
      <c r="N174" s="26" t="str">
        <f aca="false">IF($E174="Zomer",$K174,"")</f>
        <v/>
      </c>
      <c r="O174" s="26" t="str">
        <f aca="false">IF($E174="Herfst",$K174,"")</f>
        <v/>
      </c>
    </row>
    <row r="175" customFormat="false" ht="15" hidden="false" customHeight="true" outlineLevel="0" collapsed="false">
      <c r="A175" s="23" t="n">
        <v>46071</v>
      </c>
      <c r="B175" s="24" t="n">
        <v>21.71</v>
      </c>
      <c r="C175" s="24" t="n">
        <v>4.68</v>
      </c>
      <c r="D175" s="24" t="n">
        <v>21.06</v>
      </c>
      <c r="E175" s="24" t="s">
        <v>21</v>
      </c>
      <c r="F175" s="24" t="n">
        <v>4.68</v>
      </c>
      <c r="G175" s="25" t="n">
        <v>7</v>
      </c>
      <c r="H175" s="24" t="n">
        <v>45.19</v>
      </c>
      <c r="I175" s="25" t="n">
        <v>21</v>
      </c>
      <c r="J175" s="24" t="n">
        <v>4.4</v>
      </c>
      <c r="K175" s="26" t="n">
        <f aca="false">MAX(0,MIN(Instellingen!$B$8*MIN(F175,Instellingen!$B$4*G175),MIN(H175,Instellingen!$B$4*I175)/Instellingen!$B$8))</f>
        <v>4.4398378348764</v>
      </c>
      <c r="L175" s="26" t="n">
        <f aca="false">IF($E175="Winter",$K175,"")</f>
        <v>4.4398378348764</v>
      </c>
      <c r="M175" s="26" t="str">
        <f aca="false">IF($E175="Lente",$K175,"")</f>
        <v/>
      </c>
      <c r="N175" s="26" t="str">
        <f aca="false">IF($E175="Zomer",$K175,"")</f>
        <v/>
      </c>
      <c r="O175" s="26" t="str">
        <f aca="false">IF($E175="Herfst",$K175,"")</f>
        <v/>
      </c>
    </row>
    <row r="176" customFormat="false" ht="15" hidden="false" customHeight="true" outlineLevel="0" collapsed="false">
      <c r="A176" s="23" t="n">
        <v>46072</v>
      </c>
      <c r="B176" s="24" t="n">
        <v>46.62</v>
      </c>
      <c r="C176" s="24" t="n">
        <v>0</v>
      </c>
      <c r="D176" s="24" t="n">
        <v>46.62</v>
      </c>
      <c r="E176" s="24" t="s">
        <v>21</v>
      </c>
      <c r="F176" s="24" t="n">
        <v>0</v>
      </c>
      <c r="G176" s="25" t="n">
        <v>0</v>
      </c>
      <c r="H176" s="24" t="n">
        <v>0</v>
      </c>
      <c r="I176" s="25" t="n">
        <v>0</v>
      </c>
      <c r="J176" s="24" t="n">
        <v>0</v>
      </c>
      <c r="K176" s="26" t="n">
        <f aca="false">MAX(0,MIN(Instellingen!$B$8*MIN(F176,Instellingen!$B$4*G176),MIN(H176,Instellingen!$B$4*I176)/Instellingen!$B$8))</f>
        <v>0</v>
      </c>
      <c r="L176" s="26" t="n">
        <f aca="false">IF($E176="Winter",$K176,"")</f>
        <v>0</v>
      </c>
      <c r="M176" s="26" t="str">
        <f aca="false">IF($E176="Lente",$K176,"")</f>
        <v/>
      </c>
      <c r="N176" s="26" t="str">
        <f aca="false">IF($E176="Zomer",$K176,"")</f>
        <v/>
      </c>
      <c r="O176" s="26" t="str">
        <f aca="false">IF($E176="Herfst",$K176,"")</f>
        <v/>
      </c>
    </row>
    <row r="177" customFormat="false" ht="15" hidden="false" customHeight="true" outlineLevel="0" collapsed="false">
      <c r="A177" s="23" t="n">
        <v>46073</v>
      </c>
      <c r="B177" s="24" t="n">
        <v>33.27</v>
      </c>
      <c r="C177" s="24" t="n">
        <v>1.29</v>
      </c>
      <c r="D177" s="24" t="n">
        <v>32.77</v>
      </c>
      <c r="E177" s="24" t="s">
        <v>21</v>
      </c>
      <c r="F177" s="24" t="n">
        <v>1.28</v>
      </c>
      <c r="G177" s="25" t="n">
        <v>8</v>
      </c>
      <c r="H177" s="24" t="n">
        <v>32.58</v>
      </c>
      <c r="I177" s="25" t="n">
        <v>15</v>
      </c>
      <c r="J177" s="24" t="n">
        <v>1.2</v>
      </c>
      <c r="K177" s="26" t="n">
        <f aca="false">MAX(0,MIN(Instellingen!$B$8*MIN(F177,Instellingen!$B$4*G177),MIN(H177,Instellingen!$B$4*I177)/Instellingen!$B$8))</f>
        <v>1.21431462150466</v>
      </c>
      <c r="L177" s="26" t="n">
        <f aca="false">IF($E177="Winter",$K177,"")</f>
        <v>1.21431462150466</v>
      </c>
      <c r="M177" s="26" t="str">
        <f aca="false">IF($E177="Lente",$K177,"")</f>
        <v/>
      </c>
      <c r="N177" s="26" t="str">
        <f aca="false">IF($E177="Zomer",$K177,"")</f>
        <v/>
      </c>
      <c r="O177" s="26" t="str">
        <f aca="false">IF($E177="Herfst",$K177,"")</f>
        <v/>
      </c>
    </row>
    <row r="178" customFormat="false" ht="15" hidden="false" customHeight="true" outlineLevel="0" collapsed="false">
      <c r="A178" s="23" t="n">
        <v>46074</v>
      </c>
      <c r="B178" s="24" t="n">
        <v>6.67</v>
      </c>
      <c r="C178" s="24" t="n">
        <v>3.01</v>
      </c>
      <c r="D178" s="24" t="n">
        <v>4.79</v>
      </c>
      <c r="E178" s="24" t="s">
        <v>21</v>
      </c>
      <c r="F178" s="24" t="n">
        <v>3.01</v>
      </c>
      <c r="G178" s="25" t="n">
        <v>8</v>
      </c>
      <c r="H178" s="24" t="n">
        <v>9.56</v>
      </c>
      <c r="I178" s="25" t="n">
        <v>20</v>
      </c>
      <c r="J178" s="24" t="n">
        <v>2.82</v>
      </c>
      <c r="K178" s="26" t="n">
        <f aca="false">MAX(0,MIN(Instellingen!$B$8*MIN(F178,Instellingen!$B$4*G178),MIN(H178,Instellingen!$B$4*I178)/Instellingen!$B$8))</f>
        <v>2.85553672713205</v>
      </c>
      <c r="L178" s="26" t="n">
        <f aca="false">IF($E178="Winter",$K178,"")</f>
        <v>2.85553672713205</v>
      </c>
      <c r="M178" s="26" t="str">
        <f aca="false">IF($E178="Lente",$K178,"")</f>
        <v/>
      </c>
      <c r="N178" s="26" t="str">
        <f aca="false">IF($E178="Zomer",$K178,"")</f>
        <v/>
      </c>
      <c r="O178" s="26" t="str">
        <f aca="false">IF($E178="Herfst",$K178,"")</f>
        <v/>
      </c>
    </row>
    <row r="179" customFormat="false" ht="15" hidden="false" customHeight="true" outlineLevel="0" collapsed="false">
      <c r="A179" s="23" t="n">
        <v>46075</v>
      </c>
      <c r="B179" s="24" t="n">
        <v>20.78</v>
      </c>
      <c r="C179" s="24" t="n">
        <v>0</v>
      </c>
      <c r="D179" s="24" t="n">
        <v>20.78</v>
      </c>
      <c r="E179" s="24" t="s">
        <v>21</v>
      </c>
      <c r="F179" s="24" t="n">
        <v>0</v>
      </c>
      <c r="G179" s="25" t="n">
        <v>0</v>
      </c>
      <c r="H179" s="24" t="n">
        <v>0</v>
      </c>
      <c r="I179" s="25" t="n">
        <v>0</v>
      </c>
      <c r="J179" s="24" t="n">
        <v>0</v>
      </c>
      <c r="K179" s="26" t="n">
        <f aca="false">MAX(0,MIN(Instellingen!$B$8*MIN(F179,Instellingen!$B$4*G179),MIN(H179,Instellingen!$B$4*I179)/Instellingen!$B$8))</f>
        <v>0</v>
      </c>
      <c r="L179" s="26" t="n">
        <f aca="false">IF($E179="Winter",$K179,"")</f>
        <v>0</v>
      </c>
      <c r="M179" s="26" t="str">
        <f aca="false">IF($E179="Lente",$K179,"")</f>
        <v/>
      </c>
      <c r="N179" s="26" t="str">
        <f aca="false">IF($E179="Zomer",$K179,"")</f>
        <v/>
      </c>
      <c r="O179" s="26" t="str">
        <f aca="false">IF($E179="Herfst",$K179,"")</f>
        <v/>
      </c>
    </row>
    <row r="180" customFormat="false" ht="15" hidden="false" customHeight="true" outlineLevel="0" collapsed="false">
      <c r="A180" s="23" t="n">
        <v>46076</v>
      </c>
      <c r="B180" s="24" t="n">
        <v>11.06</v>
      </c>
      <c r="C180" s="24" t="n">
        <v>1.16</v>
      </c>
      <c r="D180" s="24" t="n">
        <v>8.27</v>
      </c>
      <c r="E180" s="24" t="s">
        <v>21</v>
      </c>
      <c r="F180" s="24" t="n">
        <v>1.16</v>
      </c>
      <c r="G180" s="25" t="n">
        <v>7</v>
      </c>
      <c r="H180" s="24" t="n">
        <v>6.59</v>
      </c>
      <c r="I180" s="25" t="n">
        <v>15</v>
      </c>
      <c r="J180" s="24" t="n">
        <v>1.09</v>
      </c>
      <c r="K180" s="26" t="n">
        <f aca="false">MAX(0,MIN(Instellingen!$B$8*MIN(F180,Instellingen!$B$4*G180),MIN(H180,Instellingen!$B$4*I180)/Instellingen!$B$8))</f>
        <v>1.1004726257386</v>
      </c>
      <c r="L180" s="26" t="n">
        <f aca="false">IF($E180="Winter",$K180,"")</f>
        <v>1.1004726257386</v>
      </c>
      <c r="M180" s="26" t="str">
        <f aca="false">IF($E180="Lente",$K180,"")</f>
        <v/>
      </c>
      <c r="N180" s="26" t="str">
        <f aca="false">IF($E180="Zomer",$K180,"")</f>
        <v/>
      </c>
      <c r="O180" s="26" t="str">
        <f aca="false">IF($E180="Herfst",$K180,"")</f>
        <v/>
      </c>
    </row>
    <row r="181" customFormat="false" ht="15" hidden="false" customHeight="true" outlineLevel="0" collapsed="false">
      <c r="A181" s="23" t="n">
        <v>46077</v>
      </c>
      <c r="B181" s="24" t="n">
        <v>5.18</v>
      </c>
      <c r="C181" s="24" t="n">
        <v>2.77</v>
      </c>
      <c r="D181" s="24" t="n">
        <v>4.83</v>
      </c>
      <c r="E181" s="24" t="s">
        <v>21</v>
      </c>
      <c r="F181" s="24" t="n">
        <v>2.77</v>
      </c>
      <c r="G181" s="25" t="n">
        <v>8</v>
      </c>
      <c r="H181" s="24" t="n">
        <v>4.7</v>
      </c>
      <c r="I181" s="25" t="n">
        <v>16</v>
      </c>
      <c r="J181" s="24" t="n">
        <v>2.6</v>
      </c>
      <c r="K181" s="26" t="n">
        <f aca="false">MAX(0,MIN(Instellingen!$B$8*MIN(F181,Instellingen!$B$4*G181),MIN(H181,Instellingen!$B$4*I181)/Instellingen!$B$8))</f>
        <v>2.62785273559992</v>
      </c>
      <c r="L181" s="26" t="n">
        <f aca="false">IF($E181="Winter",$K181,"")</f>
        <v>2.62785273559992</v>
      </c>
      <c r="M181" s="26" t="str">
        <f aca="false">IF($E181="Lente",$K181,"")</f>
        <v/>
      </c>
      <c r="N181" s="26" t="str">
        <f aca="false">IF($E181="Zomer",$K181,"")</f>
        <v/>
      </c>
      <c r="O181" s="26" t="str">
        <f aca="false">IF($E181="Herfst",$K181,"")</f>
        <v/>
      </c>
    </row>
    <row r="182" customFormat="false" ht="15" hidden="false" customHeight="true" outlineLevel="0" collapsed="false">
      <c r="A182" s="23" t="n">
        <v>46078</v>
      </c>
      <c r="B182" s="24" t="n">
        <v>6.04</v>
      </c>
      <c r="C182" s="24" t="n">
        <v>16.61</v>
      </c>
      <c r="D182" s="24" t="n">
        <v>4.45</v>
      </c>
      <c r="E182" s="24" t="s">
        <v>21</v>
      </c>
      <c r="F182" s="24" t="n">
        <v>16.61</v>
      </c>
      <c r="G182" s="25" t="n">
        <v>10</v>
      </c>
      <c r="H182" s="24" t="n">
        <v>5.29</v>
      </c>
      <c r="I182" s="25" t="n">
        <v>15</v>
      </c>
      <c r="J182" s="24" t="n">
        <v>5.52</v>
      </c>
      <c r="K182" s="26" t="n">
        <f aca="false">MAX(0,MIN(Instellingen!$B$8*MIN(F182,Instellingen!$B$4*G182),MIN(H182,Instellingen!$B$4*I182)/Instellingen!$B$8))</f>
        <v>5.57614960743024</v>
      </c>
      <c r="L182" s="26" t="n">
        <f aca="false">IF($E182="Winter",$K182,"")</f>
        <v>5.57614960743024</v>
      </c>
      <c r="M182" s="26" t="str">
        <f aca="false">IF($E182="Lente",$K182,"")</f>
        <v/>
      </c>
      <c r="N182" s="26" t="str">
        <f aca="false">IF($E182="Zomer",$K182,"")</f>
        <v/>
      </c>
      <c r="O182" s="26" t="str">
        <f aca="false">IF($E182="Herfst",$K182,"")</f>
        <v/>
      </c>
    </row>
    <row r="183" customFormat="false" ht="15" hidden="false" customHeight="true" outlineLevel="0" collapsed="false">
      <c r="A183" s="23" t="n">
        <v>46079</v>
      </c>
      <c r="B183" s="24" t="n">
        <v>3.81</v>
      </c>
      <c r="C183" s="24" t="n">
        <v>14.27</v>
      </c>
      <c r="D183" s="24" t="n">
        <v>2.94</v>
      </c>
      <c r="E183" s="24" t="s">
        <v>21</v>
      </c>
      <c r="F183" s="24" t="n">
        <v>14.27</v>
      </c>
      <c r="G183" s="25" t="n">
        <v>9</v>
      </c>
      <c r="H183" s="24" t="n">
        <v>8.39</v>
      </c>
      <c r="I183" s="25" t="n">
        <v>14</v>
      </c>
      <c r="J183" s="24" t="n">
        <v>3.9</v>
      </c>
      <c r="K183" s="26" t="n">
        <f aca="false">MAX(0,MIN(Instellingen!$B$8*MIN(F183,Instellingen!$B$4*G183),MIN(H183,Instellingen!$B$4*I183)/Instellingen!$B$8))</f>
        <v>8.84383652293757</v>
      </c>
      <c r="L183" s="26" t="n">
        <f aca="false">IF($E183="Winter",$K183,"")</f>
        <v>8.84383652293757</v>
      </c>
      <c r="M183" s="26" t="str">
        <f aca="false">IF($E183="Lente",$K183,"")</f>
        <v/>
      </c>
      <c r="N183" s="26" t="str">
        <f aca="false">IF($E183="Zomer",$K183,"")</f>
        <v/>
      </c>
      <c r="O183" s="26" t="str">
        <f aca="false">IF($E183="Herfst",$K183,"")</f>
        <v/>
      </c>
    </row>
    <row r="184" customFormat="false" ht="15" hidden="false" customHeight="true" outlineLevel="0" collapsed="false">
      <c r="A184" s="23" t="n">
        <v>46080</v>
      </c>
      <c r="B184" s="24" t="n">
        <v>15.64</v>
      </c>
      <c r="C184" s="24" t="n">
        <v>3.67</v>
      </c>
      <c r="D184" s="24" t="n">
        <v>13.74</v>
      </c>
      <c r="E184" s="24" t="s">
        <v>21</v>
      </c>
      <c r="F184" s="24" t="n">
        <v>3.67</v>
      </c>
      <c r="G184" s="25" t="n">
        <v>7</v>
      </c>
      <c r="H184" s="24" t="n">
        <v>9.12</v>
      </c>
      <c r="I184" s="25" t="n">
        <v>18</v>
      </c>
      <c r="J184" s="24" t="n">
        <v>3.45</v>
      </c>
      <c r="K184" s="26" t="n">
        <f aca="false">MAX(0,MIN(Instellingen!$B$8*MIN(F184,Instellingen!$B$4*G184),MIN(H184,Instellingen!$B$4*I184)/Instellingen!$B$8))</f>
        <v>3.48166770384539</v>
      </c>
      <c r="L184" s="26" t="n">
        <f aca="false">IF($E184="Winter",$K184,"")</f>
        <v>3.48166770384539</v>
      </c>
      <c r="M184" s="26" t="str">
        <f aca="false">IF($E184="Lente",$K184,"")</f>
        <v/>
      </c>
      <c r="N184" s="26" t="str">
        <f aca="false">IF($E184="Zomer",$K184,"")</f>
        <v/>
      </c>
      <c r="O184" s="26" t="str">
        <f aca="false">IF($E184="Herfst",$K184,"")</f>
        <v/>
      </c>
    </row>
    <row r="185" customFormat="false" ht="15" hidden="false" customHeight="true" outlineLevel="0" collapsed="false">
      <c r="A185" s="23" t="n">
        <v>46081</v>
      </c>
      <c r="B185" s="24" t="n">
        <v>18.47</v>
      </c>
      <c r="C185" s="24" t="n">
        <v>0.83</v>
      </c>
      <c r="D185" s="24" t="n">
        <v>16.88</v>
      </c>
      <c r="E185" s="24" t="s">
        <v>21</v>
      </c>
      <c r="F185" s="24" t="n">
        <v>0.83</v>
      </c>
      <c r="G185" s="25" t="n">
        <v>4</v>
      </c>
      <c r="H185" s="24" t="n">
        <v>17.72</v>
      </c>
      <c r="I185" s="25" t="n">
        <v>19</v>
      </c>
      <c r="J185" s="24" t="n">
        <v>0.78</v>
      </c>
      <c r="K185" s="26" t="n">
        <f aca="false">MAX(0,MIN(Instellingen!$B$8*MIN(F185,Instellingen!$B$4*G185),MIN(H185,Instellingen!$B$4*I185)/Instellingen!$B$8))</f>
        <v>0.787407137381926</v>
      </c>
      <c r="L185" s="26" t="n">
        <f aca="false">IF($E185="Winter",$K185,"")</f>
        <v>0.787407137381926</v>
      </c>
      <c r="M185" s="26" t="str">
        <f aca="false">IF($E185="Lente",$K185,"")</f>
        <v/>
      </c>
      <c r="N185" s="26" t="str">
        <f aca="false">IF($E185="Zomer",$K185,"")</f>
        <v/>
      </c>
      <c r="O185" s="26" t="str">
        <f aca="false">IF($E185="Herfst",$K185,"")</f>
        <v/>
      </c>
    </row>
    <row r="186" customFormat="false" ht="15" hidden="false" customHeight="true" outlineLevel="0" collapsed="false">
      <c r="A186" s="23" t="n">
        <v>46082</v>
      </c>
      <c r="B186" s="24" t="n">
        <v>11.31</v>
      </c>
      <c r="C186" s="24" t="n">
        <v>9.29</v>
      </c>
      <c r="D186" s="24" t="n">
        <v>10.39</v>
      </c>
      <c r="E186" s="24" t="s">
        <v>23</v>
      </c>
      <c r="F186" s="24" t="n">
        <v>9.29</v>
      </c>
      <c r="G186" s="25" t="n">
        <v>8</v>
      </c>
      <c r="H186" s="24" t="n">
        <v>8.82</v>
      </c>
      <c r="I186" s="25" t="n">
        <v>16</v>
      </c>
      <c r="J186" s="24" t="n">
        <v>8.73</v>
      </c>
      <c r="K186" s="26" t="n">
        <f aca="false">MAX(0,MIN(Instellingen!$B$8*MIN(F186,Instellingen!$B$4*G186),MIN(H186,Instellingen!$B$4*I186)/Instellingen!$B$8))</f>
        <v>8.81326783888927</v>
      </c>
      <c r="L186" s="26" t="str">
        <f aca="false">IF($E186="Winter",$K186,"")</f>
        <v/>
      </c>
      <c r="M186" s="26" t="n">
        <f aca="false">IF($E186="Lente",$K186,"")</f>
        <v>8.81326783888927</v>
      </c>
      <c r="N186" s="26" t="str">
        <f aca="false">IF($E186="Zomer",$K186,"")</f>
        <v/>
      </c>
      <c r="O186" s="26" t="str">
        <f aca="false">IF($E186="Herfst",$K186,"")</f>
        <v/>
      </c>
    </row>
    <row r="187" customFormat="false" ht="15" hidden="false" customHeight="true" outlineLevel="0" collapsed="false">
      <c r="A187" s="23" t="n">
        <v>46083</v>
      </c>
      <c r="B187" s="24" t="n">
        <v>7.22</v>
      </c>
      <c r="C187" s="24" t="n">
        <v>19.49</v>
      </c>
      <c r="D187" s="24" t="n">
        <v>6.61</v>
      </c>
      <c r="E187" s="24" t="s">
        <v>23</v>
      </c>
      <c r="F187" s="24" t="n">
        <v>19.49</v>
      </c>
      <c r="G187" s="25" t="n">
        <v>10</v>
      </c>
      <c r="H187" s="24" t="n">
        <v>6.51</v>
      </c>
      <c r="I187" s="25" t="n">
        <v>14</v>
      </c>
      <c r="J187" s="24" t="n">
        <v>6.79</v>
      </c>
      <c r="K187" s="26" t="n">
        <f aca="false">MAX(0,MIN(Instellingen!$B$8*MIN(F187,Instellingen!$B$4*G187),MIN(H187,Instellingen!$B$4*I187)/Instellingen!$B$8))</f>
        <v>6.86214252256538</v>
      </c>
      <c r="L187" s="26" t="str">
        <f aca="false">IF($E187="Winter",$K187,"")</f>
        <v/>
      </c>
      <c r="M187" s="26" t="n">
        <f aca="false">IF($E187="Lente",$K187,"")</f>
        <v>6.86214252256538</v>
      </c>
      <c r="N187" s="26" t="str">
        <f aca="false">IF($E187="Zomer",$K187,"")</f>
        <v/>
      </c>
      <c r="O187" s="26" t="str">
        <f aca="false">IF($E187="Herfst",$K187,"")</f>
        <v/>
      </c>
    </row>
    <row r="188" customFormat="false" ht="15" hidden="false" customHeight="true" outlineLevel="0" collapsed="false">
      <c r="A188" s="23" t="n">
        <v>46084</v>
      </c>
      <c r="B188" s="24" t="n">
        <v>9.57</v>
      </c>
      <c r="C188" s="24" t="n">
        <v>14.79</v>
      </c>
      <c r="D188" s="24" t="n">
        <v>8.24</v>
      </c>
      <c r="E188" s="24" t="s">
        <v>23</v>
      </c>
      <c r="F188" s="24" t="n">
        <v>14.79</v>
      </c>
      <c r="G188" s="25" t="n">
        <v>10</v>
      </c>
      <c r="H188" s="24" t="n">
        <v>7.97</v>
      </c>
      <c r="I188" s="25" t="n">
        <v>14</v>
      </c>
      <c r="J188" s="24" t="n">
        <v>8.32</v>
      </c>
      <c r="K188" s="26" t="n">
        <f aca="false">MAX(0,MIN(Instellingen!$B$8*MIN(F188,Instellingen!$B$4*G188),MIN(H188,Instellingen!$B$4*I188)/Instellingen!$B$8))</f>
        <v>8.40111765051399</v>
      </c>
      <c r="L188" s="26" t="str">
        <f aca="false">IF($E188="Winter",$K188,"")</f>
        <v/>
      </c>
      <c r="M188" s="26" t="n">
        <f aca="false">IF($E188="Lente",$K188,"")</f>
        <v>8.40111765051399</v>
      </c>
      <c r="N188" s="26" t="str">
        <f aca="false">IF($E188="Zomer",$K188,"")</f>
        <v/>
      </c>
      <c r="O188" s="26" t="str">
        <f aca="false">IF($E188="Herfst",$K188,"")</f>
        <v/>
      </c>
    </row>
    <row r="189" customFormat="false" ht="15" hidden="false" customHeight="true" outlineLevel="0" collapsed="false">
      <c r="A189" s="23" t="n">
        <v>46085</v>
      </c>
      <c r="B189" s="24" t="n">
        <v>6.16</v>
      </c>
      <c r="C189" s="24" t="n">
        <v>18.95</v>
      </c>
      <c r="D189" s="24" t="n">
        <v>4.93</v>
      </c>
      <c r="E189" s="24" t="s">
        <v>23</v>
      </c>
      <c r="F189" s="24" t="n">
        <v>18.95</v>
      </c>
      <c r="G189" s="25" t="n">
        <v>10</v>
      </c>
      <c r="H189" s="24" t="n">
        <v>5.6</v>
      </c>
      <c r="I189" s="25" t="n">
        <v>14</v>
      </c>
      <c r="J189" s="24" t="n">
        <v>5.85</v>
      </c>
      <c r="K189" s="26" t="n">
        <f aca="false">MAX(0,MIN(Instellingen!$B$8*MIN(F189,Instellingen!$B$4*G189),MIN(H189,Instellingen!$B$4*I189)/Instellingen!$B$8))</f>
        <v>5.90291829898098</v>
      </c>
      <c r="L189" s="26" t="str">
        <f aca="false">IF($E189="Winter",$K189,"")</f>
        <v/>
      </c>
      <c r="M189" s="26" t="n">
        <f aca="false">IF($E189="Lente",$K189,"")</f>
        <v>5.90291829898098</v>
      </c>
      <c r="N189" s="26" t="str">
        <f aca="false">IF($E189="Zomer",$K189,"")</f>
        <v/>
      </c>
      <c r="O189" s="26" t="str">
        <f aca="false">IF($E189="Herfst",$K189,"")</f>
        <v/>
      </c>
    </row>
    <row r="190" customFormat="false" ht="15" hidden="false" customHeight="true" outlineLevel="0" collapsed="false">
      <c r="A190" s="23" t="n">
        <v>46086</v>
      </c>
      <c r="B190" s="24" t="n">
        <v>7.04</v>
      </c>
      <c r="C190" s="24" t="n">
        <v>20.95</v>
      </c>
      <c r="D190" s="24" t="n">
        <v>7.04</v>
      </c>
      <c r="E190" s="24" t="s">
        <v>23</v>
      </c>
      <c r="F190" s="24" t="n">
        <v>20.95</v>
      </c>
      <c r="G190" s="25" t="n">
        <v>10</v>
      </c>
      <c r="H190" s="24" t="n">
        <v>6.13</v>
      </c>
      <c r="I190" s="25" t="n">
        <v>14</v>
      </c>
      <c r="J190" s="24" t="n">
        <v>6.39</v>
      </c>
      <c r="K190" s="26" t="n">
        <f aca="false">MAX(0,MIN(Instellingen!$B$8*MIN(F190,Instellingen!$B$4*G190),MIN(H190,Instellingen!$B$4*I190)/Instellingen!$B$8))</f>
        <v>6.46158735227739</v>
      </c>
      <c r="L190" s="26" t="str">
        <f aca="false">IF($E190="Winter",$K190,"")</f>
        <v/>
      </c>
      <c r="M190" s="26" t="n">
        <f aca="false">IF($E190="Lente",$K190,"")</f>
        <v>6.46158735227739</v>
      </c>
      <c r="N190" s="26" t="str">
        <f aca="false">IF($E190="Zomer",$K190,"")</f>
        <v/>
      </c>
      <c r="O190" s="26" t="str">
        <f aca="false">IF($E190="Herfst",$K190,"")</f>
        <v/>
      </c>
    </row>
    <row r="191" customFormat="false" ht="15" hidden="false" customHeight="true" outlineLevel="0" collapsed="false">
      <c r="A191" s="23" t="n">
        <v>46087</v>
      </c>
      <c r="B191" s="24" t="n">
        <v>7.81</v>
      </c>
      <c r="C191" s="24" t="n">
        <v>14.54</v>
      </c>
      <c r="D191" s="24" t="n">
        <v>7.24</v>
      </c>
      <c r="E191" s="24" t="s">
        <v>23</v>
      </c>
      <c r="F191" s="24" t="n">
        <v>14.54</v>
      </c>
      <c r="G191" s="25" t="n">
        <v>9</v>
      </c>
      <c r="H191" s="24" t="n">
        <v>7.35</v>
      </c>
      <c r="I191" s="25" t="n">
        <v>15</v>
      </c>
      <c r="J191" s="24" t="n">
        <v>7.67</v>
      </c>
      <c r="K191" s="26" t="n">
        <f aca="false">MAX(0,MIN(Instellingen!$B$8*MIN(F191,Instellingen!$B$4*G191),MIN(H191,Instellingen!$B$4*I191)/Instellingen!$B$8))</f>
        <v>7.74758026741253</v>
      </c>
      <c r="L191" s="26" t="str">
        <f aca="false">IF($E191="Winter",$K191,"")</f>
        <v/>
      </c>
      <c r="M191" s="26" t="n">
        <f aca="false">IF($E191="Lente",$K191,"")</f>
        <v>7.74758026741253</v>
      </c>
      <c r="N191" s="26" t="str">
        <f aca="false">IF($E191="Zomer",$K191,"")</f>
        <v/>
      </c>
      <c r="O191" s="26" t="str">
        <f aca="false">IF($E191="Herfst",$K191,"")</f>
        <v/>
      </c>
    </row>
    <row r="192" customFormat="false" ht="15" hidden="false" customHeight="true" outlineLevel="0" collapsed="false">
      <c r="A192" s="23" t="n">
        <v>46088</v>
      </c>
      <c r="B192" s="24" t="n">
        <v>16.1</v>
      </c>
      <c r="C192" s="24" t="n">
        <v>2.23</v>
      </c>
      <c r="D192" s="24" t="n">
        <v>12.9</v>
      </c>
      <c r="E192" s="24" t="s">
        <v>23</v>
      </c>
      <c r="F192" s="24" t="n">
        <v>2.23</v>
      </c>
      <c r="G192" s="25" t="n">
        <v>9</v>
      </c>
      <c r="H192" s="24" t="n">
        <v>13.4</v>
      </c>
      <c r="I192" s="25" t="n">
        <v>16</v>
      </c>
      <c r="J192" s="24" t="n">
        <v>2.1</v>
      </c>
      <c r="K192" s="26" t="n">
        <f aca="false">MAX(0,MIN(Instellingen!$B$8*MIN(F192,Instellingen!$B$4*G192),MIN(H192,Instellingen!$B$4*I192)/Instellingen!$B$8))</f>
        <v>2.11556375465265</v>
      </c>
      <c r="L192" s="26" t="str">
        <f aca="false">IF($E192="Winter",$K192,"")</f>
        <v/>
      </c>
      <c r="M192" s="26" t="n">
        <f aca="false">IF($E192="Lente",$K192,"")</f>
        <v>2.11556375465265</v>
      </c>
      <c r="N192" s="26" t="str">
        <f aca="false">IF($E192="Zomer",$K192,"")</f>
        <v/>
      </c>
      <c r="O192" s="26" t="str">
        <f aca="false">IF($E192="Herfst",$K192,"")</f>
        <v/>
      </c>
    </row>
    <row r="193" customFormat="false" ht="15" hidden="false" customHeight="true" outlineLevel="0" collapsed="false">
      <c r="A193" s="23" t="n">
        <v>46089</v>
      </c>
      <c r="B193" s="24" t="n">
        <v>7.6</v>
      </c>
      <c r="C193" s="24" t="n">
        <v>10.89</v>
      </c>
      <c r="D193" s="24" t="n">
        <v>6.41</v>
      </c>
      <c r="E193" s="24" t="s">
        <v>23</v>
      </c>
      <c r="F193" s="24" t="n">
        <v>10.89</v>
      </c>
      <c r="G193" s="25" t="n">
        <v>9</v>
      </c>
      <c r="H193" s="24" t="n">
        <v>6.04</v>
      </c>
      <c r="I193" s="25" t="n">
        <v>14</v>
      </c>
      <c r="J193" s="24" t="n">
        <v>6.3</v>
      </c>
      <c r="K193" s="26" t="n">
        <f aca="false">MAX(0,MIN(Instellingen!$B$8*MIN(F193,Instellingen!$B$4*G193),MIN(H193,Instellingen!$B$4*I193)/Instellingen!$B$8))</f>
        <v>6.36671902247234</v>
      </c>
      <c r="L193" s="26" t="str">
        <f aca="false">IF($E193="Winter",$K193,"")</f>
        <v/>
      </c>
      <c r="M193" s="26" t="n">
        <f aca="false">IF($E193="Lente",$K193,"")</f>
        <v>6.36671902247234</v>
      </c>
      <c r="N193" s="26" t="str">
        <f aca="false">IF($E193="Zomer",$K193,"")</f>
        <v/>
      </c>
      <c r="O193" s="26" t="str">
        <f aca="false">IF($E193="Herfst",$K193,"")</f>
        <v/>
      </c>
    </row>
    <row r="194" customFormat="false" ht="15" hidden="false" customHeight="true" outlineLevel="0" collapsed="false">
      <c r="A194" s="23" t="n">
        <v>46090</v>
      </c>
      <c r="B194" s="24" t="n">
        <v>10.4</v>
      </c>
      <c r="C194" s="24" t="n">
        <v>18.57</v>
      </c>
      <c r="D194" s="24" t="n">
        <v>10.04</v>
      </c>
      <c r="E194" s="24" t="s">
        <v>23</v>
      </c>
      <c r="F194" s="24" t="n">
        <v>18.58</v>
      </c>
      <c r="G194" s="25" t="n">
        <v>10</v>
      </c>
      <c r="H194" s="24" t="n">
        <v>11.2</v>
      </c>
      <c r="I194" s="25" t="n">
        <v>14</v>
      </c>
      <c r="J194" s="24" t="n">
        <v>11.53</v>
      </c>
      <c r="K194" s="26" t="n">
        <f aca="false">MAX(0,MIN(Instellingen!$B$8*MIN(F194,Instellingen!$B$4*G194),MIN(H194,Instellingen!$B$4*I194)/Instellingen!$B$8))</f>
        <v>11.805836597962</v>
      </c>
      <c r="L194" s="26" t="str">
        <f aca="false">IF($E194="Winter",$K194,"")</f>
        <v/>
      </c>
      <c r="M194" s="26" t="n">
        <f aca="false">IF($E194="Lente",$K194,"")</f>
        <v>11.805836597962</v>
      </c>
      <c r="N194" s="26" t="str">
        <f aca="false">IF($E194="Zomer",$K194,"")</f>
        <v/>
      </c>
      <c r="O194" s="26" t="str">
        <f aca="false">IF($E194="Herfst",$K194,"")</f>
        <v/>
      </c>
    </row>
    <row r="195" customFormat="false" ht="15" hidden="false" customHeight="true" outlineLevel="0" collapsed="false">
      <c r="A195" s="23" t="n">
        <v>46091</v>
      </c>
      <c r="B195" s="24" t="n">
        <v>14.77</v>
      </c>
      <c r="C195" s="24" t="n">
        <v>3.47</v>
      </c>
      <c r="D195" s="24" t="n">
        <v>12.85</v>
      </c>
      <c r="E195" s="24" t="s">
        <v>23</v>
      </c>
      <c r="F195" s="24" t="n">
        <v>3.46</v>
      </c>
      <c r="G195" s="25" t="n">
        <v>9</v>
      </c>
      <c r="H195" s="24" t="n">
        <v>14.31</v>
      </c>
      <c r="I195" s="25" t="n">
        <v>18</v>
      </c>
      <c r="J195" s="24" t="n">
        <v>3.17</v>
      </c>
      <c r="K195" s="26" t="n">
        <f aca="false">MAX(0,MIN(Instellingen!$B$8*MIN(F195,Instellingen!$B$4*G195),MIN(H195,Instellingen!$B$4*I195)/Instellingen!$B$8))</f>
        <v>3.28244421125478</v>
      </c>
      <c r="L195" s="26" t="str">
        <f aca="false">IF($E195="Winter",$K195,"")</f>
        <v/>
      </c>
      <c r="M195" s="26" t="n">
        <f aca="false">IF($E195="Lente",$K195,"")</f>
        <v>3.28244421125478</v>
      </c>
      <c r="N195" s="26" t="str">
        <f aca="false">IF($E195="Zomer",$K195,"")</f>
        <v/>
      </c>
      <c r="O195" s="26" t="str">
        <f aca="false">IF($E195="Herfst",$K195,"")</f>
        <v/>
      </c>
    </row>
    <row r="196" customFormat="false" ht="15" hidden="false" customHeight="true" outlineLevel="0" collapsed="false">
      <c r="A196" s="23" t="n">
        <v>46092</v>
      </c>
      <c r="B196" s="24" t="n">
        <v>17.47</v>
      </c>
      <c r="C196" s="24" t="n">
        <v>4.48</v>
      </c>
      <c r="D196" s="24" t="n">
        <v>16.95</v>
      </c>
      <c r="E196" s="24" t="s">
        <v>23</v>
      </c>
      <c r="F196" s="24" t="n">
        <v>4.48</v>
      </c>
      <c r="G196" s="25" t="n">
        <v>7</v>
      </c>
      <c r="H196" s="24" t="n">
        <v>13.96</v>
      </c>
      <c r="I196" s="25" t="n">
        <v>13</v>
      </c>
      <c r="J196" s="24" t="n">
        <v>4.21</v>
      </c>
      <c r="K196" s="26" t="n">
        <f aca="false">MAX(0,MIN(Instellingen!$B$8*MIN(F196,Instellingen!$B$4*G196),MIN(H196,Instellingen!$B$4*I196)/Instellingen!$B$8))</f>
        <v>4.2501011752663</v>
      </c>
      <c r="L196" s="26" t="str">
        <f aca="false">IF($E196="Winter",$K196,"")</f>
        <v/>
      </c>
      <c r="M196" s="26" t="n">
        <f aca="false">IF($E196="Lente",$K196,"")</f>
        <v>4.2501011752663</v>
      </c>
      <c r="N196" s="26" t="str">
        <f aca="false">IF($E196="Zomer",$K196,"")</f>
        <v/>
      </c>
      <c r="O196" s="26" t="str">
        <f aca="false">IF($E196="Herfst",$K196,"")</f>
        <v/>
      </c>
    </row>
    <row r="197" customFormat="false" ht="15" hidden="false" customHeight="true" outlineLevel="0" collapsed="false">
      <c r="A197" s="23" t="n">
        <v>46093</v>
      </c>
      <c r="B197" s="24" t="n">
        <v>11.5</v>
      </c>
      <c r="C197" s="24" t="n">
        <v>16.69</v>
      </c>
      <c r="D197" s="24" t="n">
        <v>10.26</v>
      </c>
      <c r="E197" s="24" t="s">
        <v>23</v>
      </c>
      <c r="F197" s="24" t="n">
        <v>16.7</v>
      </c>
      <c r="G197" s="25" t="n">
        <v>11</v>
      </c>
      <c r="H197" s="24" t="n">
        <v>11.25</v>
      </c>
      <c r="I197" s="25" t="n">
        <v>16</v>
      </c>
      <c r="J197" s="24" t="n">
        <v>11.73</v>
      </c>
      <c r="K197" s="26" t="n">
        <f aca="false">MAX(0,MIN(Instellingen!$B$8*MIN(F197,Instellingen!$B$4*G197),MIN(H197,Instellingen!$B$4*I197)/Instellingen!$B$8))</f>
        <v>11.8585412256314</v>
      </c>
      <c r="L197" s="26" t="str">
        <f aca="false">IF($E197="Winter",$K197,"")</f>
        <v/>
      </c>
      <c r="M197" s="26" t="n">
        <f aca="false">IF($E197="Lente",$K197,"")</f>
        <v>11.8585412256314</v>
      </c>
      <c r="N197" s="26" t="str">
        <f aca="false">IF($E197="Zomer",$K197,"")</f>
        <v/>
      </c>
      <c r="O197" s="26" t="str">
        <f aca="false">IF($E197="Herfst",$K197,"")</f>
        <v/>
      </c>
    </row>
    <row r="198" customFormat="false" ht="15" hidden="false" customHeight="true" outlineLevel="0" collapsed="false">
      <c r="A198" s="23" t="n">
        <v>46094</v>
      </c>
      <c r="B198" s="24" t="n">
        <v>5.23</v>
      </c>
      <c r="C198" s="24" t="n">
        <v>2</v>
      </c>
      <c r="D198" s="24" t="n">
        <v>3.71</v>
      </c>
      <c r="E198" s="24" t="s">
        <v>23</v>
      </c>
      <c r="F198" s="24" t="n">
        <v>1.99</v>
      </c>
      <c r="G198" s="25" t="n">
        <v>7</v>
      </c>
      <c r="H198" s="24" t="n">
        <v>9.57</v>
      </c>
      <c r="I198" s="25" t="n">
        <v>16</v>
      </c>
      <c r="J198" s="24" t="n">
        <v>1.87</v>
      </c>
      <c r="K198" s="26" t="n">
        <f aca="false">MAX(0,MIN(Instellingen!$B$8*MIN(F198,Instellingen!$B$4*G198),MIN(H198,Instellingen!$B$4*I198)/Instellingen!$B$8))</f>
        <v>1.88787976312052</v>
      </c>
      <c r="L198" s="26" t="str">
        <f aca="false">IF($E198="Winter",$K198,"")</f>
        <v/>
      </c>
      <c r="M198" s="26" t="n">
        <f aca="false">IF($E198="Lente",$K198,"")</f>
        <v>1.88787976312052</v>
      </c>
      <c r="N198" s="26" t="str">
        <f aca="false">IF($E198="Zomer",$K198,"")</f>
        <v/>
      </c>
      <c r="O198" s="26" t="str">
        <f aca="false">IF($E198="Herfst",$K198,"")</f>
        <v/>
      </c>
    </row>
    <row r="199" customFormat="false" ht="15" hidden="false" customHeight="true" outlineLevel="0" collapsed="false">
      <c r="A199" s="23" t="n">
        <v>46095</v>
      </c>
      <c r="B199" s="24" t="n">
        <v>19.04</v>
      </c>
      <c r="C199" s="24" t="n">
        <v>5.24</v>
      </c>
      <c r="D199" s="24" t="n">
        <v>15.8</v>
      </c>
      <c r="E199" s="24" t="s">
        <v>23</v>
      </c>
      <c r="F199" s="24" t="n">
        <v>5.24</v>
      </c>
      <c r="G199" s="25" t="n">
        <v>8</v>
      </c>
      <c r="H199" s="24" t="n">
        <v>8.91</v>
      </c>
      <c r="I199" s="25" t="n">
        <v>14</v>
      </c>
      <c r="J199" s="24" t="n">
        <v>4.92</v>
      </c>
      <c r="K199" s="26" t="n">
        <f aca="false">MAX(0,MIN(Instellingen!$B$8*MIN(F199,Instellingen!$B$4*G199),MIN(H199,Instellingen!$B$4*I199)/Instellingen!$B$8))</f>
        <v>4.97110048178469</v>
      </c>
      <c r="L199" s="26" t="str">
        <f aca="false">IF($E199="Winter",$K199,"")</f>
        <v/>
      </c>
      <c r="M199" s="26" t="n">
        <f aca="false">IF($E199="Lente",$K199,"")</f>
        <v>4.97110048178469</v>
      </c>
      <c r="N199" s="26" t="str">
        <f aca="false">IF($E199="Zomer",$K199,"")</f>
        <v/>
      </c>
      <c r="O199" s="26" t="str">
        <f aca="false">IF($E199="Herfst",$K199,"")</f>
        <v/>
      </c>
    </row>
    <row r="200" customFormat="false" ht="15" hidden="false" customHeight="true" outlineLevel="0" collapsed="false">
      <c r="A200" s="23" t="n">
        <v>46096</v>
      </c>
      <c r="B200" s="24" t="n">
        <v>12.59</v>
      </c>
      <c r="C200" s="24" t="n">
        <v>17.85</v>
      </c>
      <c r="D200" s="24" t="n">
        <v>9.8</v>
      </c>
      <c r="E200" s="24" t="s">
        <v>23</v>
      </c>
      <c r="F200" s="24" t="n">
        <v>17.85</v>
      </c>
      <c r="G200" s="25" t="n">
        <v>11</v>
      </c>
      <c r="H200" s="24" t="n">
        <v>9.93</v>
      </c>
      <c r="I200" s="25" t="n">
        <v>13</v>
      </c>
      <c r="J200" s="24" t="n">
        <v>10.36</v>
      </c>
      <c r="K200" s="26" t="n">
        <f aca="false">MAX(0,MIN(Instellingen!$B$8*MIN(F200,Instellingen!$B$4*G200),MIN(H200,Instellingen!$B$4*I200)/Instellingen!$B$8))</f>
        <v>10.4671390551573</v>
      </c>
      <c r="L200" s="26" t="str">
        <f aca="false">IF($E200="Winter",$K200,"")</f>
        <v/>
      </c>
      <c r="M200" s="26" t="n">
        <f aca="false">IF($E200="Lente",$K200,"")</f>
        <v>10.4671390551573</v>
      </c>
      <c r="N200" s="26" t="str">
        <f aca="false">IF($E200="Zomer",$K200,"")</f>
        <v/>
      </c>
      <c r="O200" s="26" t="str">
        <f aca="false">IF($E200="Herfst",$K200,"")</f>
        <v/>
      </c>
    </row>
    <row r="201" customFormat="false" ht="15" hidden="false" customHeight="true" outlineLevel="0" collapsed="false">
      <c r="A201" s="23" t="n">
        <v>46097</v>
      </c>
      <c r="B201" s="24" t="n">
        <v>11.49</v>
      </c>
      <c r="C201" s="24" t="n">
        <v>17.62</v>
      </c>
      <c r="D201" s="24" t="n">
        <v>9.93</v>
      </c>
      <c r="E201" s="24" t="s">
        <v>23</v>
      </c>
      <c r="F201" s="24" t="n">
        <v>17.62</v>
      </c>
      <c r="G201" s="25" t="n">
        <v>12</v>
      </c>
      <c r="H201" s="24" t="n">
        <v>12.36</v>
      </c>
      <c r="I201" s="25" t="n">
        <v>15</v>
      </c>
      <c r="J201" s="24" t="n">
        <v>12.84</v>
      </c>
      <c r="K201" s="26" t="n">
        <f aca="false">MAX(0,MIN(Instellingen!$B$8*MIN(F201,Instellingen!$B$4*G201),MIN(H201,Instellingen!$B$4*I201)/Instellingen!$B$8))</f>
        <v>13.0285839598937</v>
      </c>
      <c r="L201" s="26" t="str">
        <f aca="false">IF($E201="Winter",$K201,"")</f>
        <v/>
      </c>
      <c r="M201" s="26" t="n">
        <f aca="false">IF($E201="Lente",$K201,"")</f>
        <v>13.0285839598937</v>
      </c>
      <c r="N201" s="26" t="str">
        <f aca="false">IF($E201="Zomer",$K201,"")</f>
        <v/>
      </c>
      <c r="O201" s="26" t="str">
        <f aca="false">IF($E201="Herfst",$K201,"")</f>
        <v/>
      </c>
    </row>
    <row r="202" customFormat="false" ht="15" hidden="false" customHeight="true" outlineLevel="0" collapsed="false">
      <c r="A202" s="23" t="n">
        <v>46098</v>
      </c>
      <c r="B202" s="24" t="n">
        <v>10.34</v>
      </c>
      <c r="C202" s="24" t="n">
        <v>4.16</v>
      </c>
      <c r="D202" s="24" t="n">
        <v>8.54</v>
      </c>
      <c r="E202" s="24" t="s">
        <v>23</v>
      </c>
      <c r="F202" s="24" t="n">
        <v>4.16</v>
      </c>
      <c r="G202" s="25" t="n">
        <v>8</v>
      </c>
      <c r="H202" s="24" t="n">
        <v>5.97</v>
      </c>
      <c r="I202" s="25" t="n">
        <v>13</v>
      </c>
      <c r="J202" s="24" t="n">
        <v>3.88</v>
      </c>
      <c r="K202" s="26" t="n">
        <f aca="false">MAX(0,MIN(Instellingen!$B$8*MIN(F202,Instellingen!$B$4*G202),MIN(H202,Instellingen!$B$4*I202)/Instellingen!$B$8))</f>
        <v>3.94652251989014</v>
      </c>
      <c r="L202" s="26" t="str">
        <f aca="false">IF($E202="Winter",$K202,"")</f>
        <v/>
      </c>
      <c r="M202" s="26" t="n">
        <f aca="false">IF($E202="Lente",$K202,"")</f>
        <v>3.94652251989014</v>
      </c>
      <c r="N202" s="26" t="str">
        <f aca="false">IF($E202="Zomer",$K202,"")</f>
        <v/>
      </c>
      <c r="O202" s="26" t="str">
        <f aca="false">IF($E202="Herfst",$K202,"")</f>
        <v/>
      </c>
    </row>
    <row r="203" customFormat="false" ht="15" hidden="false" customHeight="true" outlineLevel="0" collapsed="false">
      <c r="A203" s="23" t="n">
        <v>46099</v>
      </c>
      <c r="B203" s="24" t="n">
        <v>8.51</v>
      </c>
      <c r="C203" s="24" t="n">
        <v>20.63</v>
      </c>
      <c r="D203" s="24" t="n">
        <v>7.63</v>
      </c>
      <c r="E203" s="24" t="s">
        <v>23</v>
      </c>
      <c r="F203" s="24" t="n">
        <v>20.63</v>
      </c>
      <c r="G203" s="25" t="n">
        <v>11</v>
      </c>
      <c r="H203" s="24" t="n">
        <v>7.82</v>
      </c>
      <c r="I203" s="25" t="n">
        <v>13</v>
      </c>
      <c r="J203" s="24" t="n">
        <v>8.16</v>
      </c>
      <c r="K203" s="26" t="n">
        <f aca="false">MAX(0,MIN(Instellingen!$B$8*MIN(F203,Instellingen!$B$4*G203),MIN(H203,Instellingen!$B$4*I203)/Instellingen!$B$8))</f>
        <v>8.24300376750558</v>
      </c>
      <c r="L203" s="26" t="str">
        <f aca="false">IF($E203="Winter",$K203,"")</f>
        <v/>
      </c>
      <c r="M203" s="26" t="n">
        <f aca="false">IF($E203="Lente",$K203,"")</f>
        <v>8.24300376750558</v>
      </c>
      <c r="N203" s="26" t="str">
        <f aca="false">IF($E203="Zomer",$K203,"")</f>
        <v/>
      </c>
      <c r="O203" s="26" t="str">
        <f aca="false">IF($E203="Herfst",$K203,"")</f>
        <v/>
      </c>
    </row>
    <row r="204" customFormat="false" ht="15" hidden="false" customHeight="true" outlineLevel="0" collapsed="false">
      <c r="A204" s="23" t="n">
        <v>46100</v>
      </c>
      <c r="B204" s="24" t="n">
        <v>3.04</v>
      </c>
      <c r="C204" s="24" t="n">
        <v>22.73</v>
      </c>
      <c r="D204" s="24" t="n">
        <v>1.95</v>
      </c>
      <c r="E204" s="24" t="s">
        <v>23</v>
      </c>
      <c r="F204" s="24" t="n">
        <v>22.73</v>
      </c>
      <c r="G204" s="25" t="n">
        <v>12</v>
      </c>
      <c r="H204" s="24" t="n">
        <v>6.52</v>
      </c>
      <c r="I204" s="25" t="n">
        <v>12</v>
      </c>
      <c r="J204" s="24" t="n">
        <v>3.39</v>
      </c>
      <c r="K204" s="26" t="n">
        <f aca="false">MAX(0,MIN(Instellingen!$B$8*MIN(F204,Instellingen!$B$4*G204),MIN(H204,Instellingen!$B$4*I204)/Instellingen!$B$8))</f>
        <v>6.87268344809928</v>
      </c>
      <c r="L204" s="26" t="str">
        <f aca="false">IF($E204="Winter",$K204,"")</f>
        <v/>
      </c>
      <c r="M204" s="26" t="n">
        <f aca="false">IF($E204="Lente",$K204,"")</f>
        <v>6.87268344809928</v>
      </c>
      <c r="N204" s="26" t="str">
        <f aca="false">IF($E204="Zomer",$K204,"")</f>
        <v/>
      </c>
      <c r="O204" s="26" t="str">
        <f aca="false">IF($E204="Herfst",$K204,"")</f>
        <v/>
      </c>
    </row>
    <row r="205" customFormat="false" ht="15" hidden="false" customHeight="true" outlineLevel="0" collapsed="false">
      <c r="A205" s="23" t="n">
        <v>46101</v>
      </c>
      <c r="B205" s="24" t="n">
        <v>12.33</v>
      </c>
      <c r="C205" s="24" t="n">
        <v>21.86</v>
      </c>
      <c r="D205" s="24" t="n">
        <v>11.73</v>
      </c>
      <c r="E205" s="24" t="s">
        <v>23</v>
      </c>
      <c r="F205" s="24" t="n">
        <v>21.86</v>
      </c>
      <c r="G205" s="25" t="n">
        <v>12</v>
      </c>
      <c r="H205" s="24" t="n">
        <v>7.45</v>
      </c>
      <c r="I205" s="25" t="n">
        <v>13</v>
      </c>
      <c r="J205" s="24" t="n">
        <v>7.77</v>
      </c>
      <c r="K205" s="26" t="n">
        <f aca="false">MAX(0,MIN(Instellingen!$B$8*MIN(F205,Instellingen!$B$4*G205),MIN(H205,Instellingen!$B$4*I205)/Instellingen!$B$8))</f>
        <v>7.85298952275148</v>
      </c>
      <c r="L205" s="26" t="str">
        <f aca="false">IF($E205="Winter",$K205,"")</f>
        <v/>
      </c>
      <c r="M205" s="26" t="n">
        <f aca="false">IF($E205="Lente",$K205,"")</f>
        <v>7.85298952275148</v>
      </c>
      <c r="N205" s="26" t="str">
        <f aca="false">IF($E205="Zomer",$K205,"")</f>
        <v/>
      </c>
      <c r="O205" s="26" t="str">
        <f aca="false">IF($E205="Herfst",$K205,"")</f>
        <v/>
      </c>
    </row>
    <row r="206" customFormat="false" ht="15" hidden="false" customHeight="true" outlineLevel="0" collapsed="false">
      <c r="A206" s="23" t="n">
        <v>46102</v>
      </c>
      <c r="B206" s="24" t="n">
        <v>4.72</v>
      </c>
      <c r="C206" s="24" t="n">
        <v>21.42</v>
      </c>
      <c r="D206" s="24" t="n">
        <v>3.76</v>
      </c>
      <c r="E206" s="24" t="s">
        <v>23</v>
      </c>
      <c r="F206" s="24" t="n">
        <v>21.42</v>
      </c>
      <c r="G206" s="25" t="n">
        <v>11</v>
      </c>
      <c r="H206" s="24" t="n">
        <v>3.42</v>
      </c>
      <c r="I206" s="25" t="n">
        <v>12</v>
      </c>
      <c r="J206" s="24" t="n">
        <v>3.57</v>
      </c>
      <c r="K206" s="26" t="n">
        <f aca="false">MAX(0,MIN(Instellingen!$B$8*MIN(F206,Instellingen!$B$4*G206),MIN(H206,Instellingen!$B$4*I206)/Instellingen!$B$8))</f>
        <v>3.60499653259195</v>
      </c>
      <c r="L206" s="26" t="str">
        <f aca="false">IF($E206="Winter",$K206,"")</f>
        <v/>
      </c>
      <c r="M206" s="26" t="n">
        <f aca="false">IF($E206="Lente",$K206,"")</f>
        <v>3.60499653259195</v>
      </c>
      <c r="N206" s="26" t="str">
        <f aca="false">IF($E206="Zomer",$K206,"")</f>
        <v/>
      </c>
      <c r="O206" s="26" t="str">
        <f aca="false">IF($E206="Herfst",$K206,"")</f>
        <v/>
      </c>
    </row>
    <row r="207" customFormat="false" ht="15" hidden="false" customHeight="true" outlineLevel="0" collapsed="false">
      <c r="A207" s="23" t="n">
        <v>46103</v>
      </c>
      <c r="B207" s="24" t="n">
        <v>16.29</v>
      </c>
      <c r="C207" s="24" t="n">
        <v>20.06</v>
      </c>
      <c r="D207" s="24" t="n">
        <v>15.56</v>
      </c>
      <c r="E207" s="24" t="s">
        <v>23</v>
      </c>
      <c r="F207" s="24" t="n">
        <v>20.06</v>
      </c>
      <c r="G207" s="25" t="n">
        <v>11</v>
      </c>
      <c r="H207" s="24" t="n">
        <v>15.45</v>
      </c>
      <c r="I207" s="25" t="n">
        <v>13</v>
      </c>
      <c r="J207" s="24" t="n">
        <v>11.33</v>
      </c>
      <c r="K207" s="26" t="n">
        <f aca="false">MAX(0,MIN(Instellingen!$B$8*MIN(F207,Instellingen!$B$4*G207),MIN(H207,Instellingen!$B$4*I207)/Instellingen!$B$8))</f>
        <v>16.2857299498672</v>
      </c>
      <c r="L207" s="26" t="str">
        <f aca="false">IF($E207="Winter",$K207,"")</f>
        <v/>
      </c>
      <c r="M207" s="26" t="n">
        <f aca="false">IF($E207="Lente",$K207,"")</f>
        <v>16.2857299498672</v>
      </c>
      <c r="N207" s="26" t="str">
        <f aca="false">IF($E207="Zomer",$K207,"")</f>
        <v/>
      </c>
      <c r="O207" s="26" t="str">
        <f aca="false">IF($E207="Herfst",$K207,"")</f>
        <v/>
      </c>
    </row>
    <row r="208" customFormat="false" ht="15" hidden="false" customHeight="true" outlineLevel="0" collapsed="false">
      <c r="A208" s="23" t="n">
        <v>46104</v>
      </c>
      <c r="B208" s="24" t="n">
        <v>8.66</v>
      </c>
      <c r="C208" s="24" t="n">
        <v>19.27</v>
      </c>
      <c r="D208" s="24" t="n">
        <v>8.1</v>
      </c>
      <c r="E208" s="24" t="s">
        <v>23</v>
      </c>
      <c r="F208" s="24" t="n">
        <v>19.27</v>
      </c>
      <c r="G208" s="25" t="n">
        <v>11</v>
      </c>
      <c r="H208" s="24" t="n">
        <v>8.53</v>
      </c>
      <c r="I208" s="25" t="n">
        <v>14</v>
      </c>
      <c r="J208" s="24" t="n">
        <v>8.9</v>
      </c>
      <c r="K208" s="26" t="n">
        <f aca="false">MAX(0,MIN(Instellingen!$B$8*MIN(F208,Instellingen!$B$4*G208),MIN(H208,Instellingen!$B$4*I208)/Instellingen!$B$8))</f>
        <v>8.99140948041209</v>
      </c>
      <c r="L208" s="26" t="str">
        <f aca="false">IF($E208="Winter",$K208,"")</f>
        <v/>
      </c>
      <c r="M208" s="26" t="n">
        <f aca="false">IF($E208="Lente",$K208,"")</f>
        <v>8.99140948041209</v>
      </c>
      <c r="N208" s="26" t="str">
        <f aca="false">IF($E208="Zomer",$K208,"")</f>
        <v/>
      </c>
      <c r="O208" s="26" t="str">
        <f aca="false">IF($E208="Herfst",$K208,"")</f>
        <v/>
      </c>
    </row>
    <row r="209" customFormat="false" ht="15" hidden="false" customHeight="true" outlineLevel="0" collapsed="false">
      <c r="A209" s="23" t="n">
        <v>46105</v>
      </c>
      <c r="B209" s="24" t="n">
        <v>12.04</v>
      </c>
      <c r="C209" s="24" t="n">
        <v>11.52</v>
      </c>
      <c r="D209" s="24" t="n">
        <v>10.95</v>
      </c>
      <c r="E209" s="24" t="s">
        <v>23</v>
      </c>
      <c r="F209" s="24" t="n">
        <v>11.51</v>
      </c>
      <c r="G209" s="25" t="n">
        <v>10</v>
      </c>
      <c r="H209" s="24" t="n">
        <v>13.26</v>
      </c>
      <c r="I209" s="25" t="n">
        <v>17</v>
      </c>
      <c r="J209" s="24" t="n">
        <v>10.65</v>
      </c>
      <c r="K209" s="26" t="n">
        <f aca="false">MAX(0,MIN(Instellingen!$B$8*MIN(F209,Instellingen!$B$4*G209),MIN(H209,Instellingen!$B$4*I209)/Instellingen!$B$8))</f>
        <v>10.9193447605614</v>
      </c>
      <c r="L209" s="26" t="str">
        <f aca="false">IF($E209="Winter",$K209,"")</f>
        <v/>
      </c>
      <c r="M209" s="26" t="n">
        <f aca="false">IF($E209="Lente",$K209,"")</f>
        <v>10.9193447605614</v>
      </c>
      <c r="N209" s="26" t="str">
        <f aca="false">IF($E209="Zomer",$K209,"")</f>
        <v/>
      </c>
      <c r="O209" s="26" t="str">
        <f aca="false">IF($E209="Herfst",$K209,"")</f>
        <v/>
      </c>
    </row>
    <row r="210" customFormat="false" ht="15" hidden="false" customHeight="true" outlineLevel="0" collapsed="false">
      <c r="A210" s="23" t="n">
        <v>46106</v>
      </c>
      <c r="B210" s="24" t="n">
        <v>19.21</v>
      </c>
      <c r="C210" s="24" t="n">
        <v>6.28</v>
      </c>
      <c r="D210" s="24" t="n">
        <v>16.55</v>
      </c>
      <c r="E210" s="24" t="s">
        <v>23</v>
      </c>
      <c r="F210" s="24" t="n">
        <v>6.29</v>
      </c>
      <c r="G210" s="25" t="n">
        <v>7</v>
      </c>
      <c r="H210" s="24" t="n">
        <v>14</v>
      </c>
      <c r="I210" s="25" t="n">
        <v>13</v>
      </c>
      <c r="J210" s="24" t="n">
        <v>5.9</v>
      </c>
      <c r="K210" s="26" t="n">
        <f aca="false">MAX(0,MIN(Instellingen!$B$8*MIN(F210,Instellingen!$B$4*G210),MIN(H210,Instellingen!$B$4*I210)/Instellingen!$B$8))</f>
        <v>5.96721794473773</v>
      </c>
      <c r="L210" s="26" t="str">
        <f aca="false">IF($E210="Winter",$K210,"")</f>
        <v/>
      </c>
      <c r="M210" s="26" t="n">
        <f aca="false">IF($E210="Lente",$K210,"")</f>
        <v>5.96721794473773</v>
      </c>
      <c r="N210" s="26" t="str">
        <f aca="false">IF($E210="Zomer",$K210,"")</f>
        <v/>
      </c>
      <c r="O210" s="26" t="str">
        <f aca="false">IF($E210="Herfst",$K210,"")</f>
        <v/>
      </c>
    </row>
    <row r="211" customFormat="false" ht="15" hidden="false" customHeight="true" outlineLevel="0" collapsed="false">
      <c r="A211" s="23" t="n">
        <v>46107</v>
      </c>
      <c r="B211" s="24" t="n">
        <v>9.33</v>
      </c>
      <c r="C211" s="24" t="n">
        <v>17.8</v>
      </c>
      <c r="D211" s="24" t="n">
        <v>8.21</v>
      </c>
      <c r="E211" s="24" t="s">
        <v>23</v>
      </c>
      <c r="F211" s="24" t="n">
        <v>17.8</v>
      </c>
      <c r="G211" s="25" t="n">
        <v>11</v>
      </c>
      <c r="H211" s="24" t="n">
        <v>8.03</v>
      </c>
      <c r="I211" s="25" t="n">
        <v>13</v>
      </c>
      <c r="J211" s="24" t="n">
        <v>8.38</v>
      </c>
      <c r="K211" s="26" t="n">
        <f aca="false">MAX(0,MIN(Instellingen!$B$8*MIN(F211,Instellingen!$B$4*G211),MIN(H211,Instellingen!$B$4*I211)/Instellingen!$B$8))</f>
        <v>8.46436320371736</v>
      </c>
      <c r="L211" s="26" t="str">
        <f aca="false">IF($E211="Winter",$K211,"")</f>
        <v/>
      </c>
      <c r="M211" s="26" t="n">
        <f aca="false">IF($E211="Lente",$K211,"")</f>
        <v>8.46436320371736</v>
      </c>
      <c r="N211" s="26" t="str">
        <f aca="false">IF($E211="Zomer",$K211,"")</f>
        <v/>
      </c>
      <c r="O211" s="26" t="str">
        <f aca="false">IF($E211="Herfst",$K211,"")</f>
        <v/>
      </c>
    </row>
    <row r="212" customFormat="false" ht="15" hidden="false" customHeight="true" outlineLevel="0" collapsed="false">
      <c r="A212" s="23" t="n">
        <v>46108</v>
      </c>
      <c r="B212" s="24" t="n">
        <v>14.24</v>
      </c>
      <c r="C212" s="24" t="n">
        <v>8.27</v>
      </c>
      <c r="D212" s="24" t="n">
        <v>12.74</v>
      </c>
      <c r="E212" s="24" t="s">
        <v>23</v>
      </c>
      <c r="F212" s="24" t="n">
        <v>8.28</v>
      </c>
      <c r="G212" s="25" t="n">
        <v>8</v>
      </c>
      <c r="H212" s="24" t="n">
        <v>12.71</v>
      </c>
      <c r="I212" s="25" t="n">
        <v>17</v>
      </c>
      <c r="J212" s="24" t="n">
        <v>7.77</v>
      </c>
      <c r="K212" s="26" t="n">
        <f aca="false">MAX(0,MIN(Instellingen!$B$8*MIN(F212,Instellingen!$B$4*G212),MIN(H212,Instellingen!$B$4*I212)/Instellingen!$B$8))</f>
        <v>7.85509770785825</v>
      </c>
      <c r="L212" s="26" t="str">
        <f aca="false">IF($E212="Winter",$K212,"")</f>
        <v/>
      </c>
      <c r="M212" s="26" t="n">
        <f aca="false">IF($E212="Lente",$K212,"")</f>
        <v>7.85509770785825</v>
      </c>
      <c r="N212" s="26" t="str">
        <f aca="false">IF($E212="Zomer",$K212,"")</f>
        <v/>
      </c>
      <c r="O212" s="26" t="str">
        <f aca="false">IF($E212="Herfst",$K212,"")</f>
        <v/>
      </c>
    </row>
    <row r="213" customFormat="false" ht="15" hidden="false" customHeight="true" outlineLevel="0" collapsed="false">
      <c r="A213" s="23" t="n">
        <v>46109</v>
      </c>
      <c r="B213" s="24" t="n">
        <v>19.39</v>
      </c>
      <c r="C213" s="24" t="n">
        <v>13.56</v>
      </c>
      <c r="D213" s="24" t="n">
        <v>15.3</v>
      </c>
      <c r="E213" s="24" t="s">
        <v>23</v>
      </c>
      <c r="F213" s="24" t="n">
        <v>13.57</v>
      </c>
      <c r="G213" s="25" t="n">
        <v>10</v>
      </c>
      <c r="H213" s="24" t="n">
        <v>15.25</v>
      </c>
      <c r="I213" s="25" t="n">
        <v>13</v>
      </c>
      <c r="J213" s="24" t="n">
        <v>10.9</v>
      </c>
      <c r="K213" s="26" t="n">
        <f aca="false">MAX(0,MIN(Instellingen!$B$8*MIN(F213,Instellingen!$B$4*G213),MIN(H213,Instellingen!$B$4*I213)/Instellingen!$B$8))</f>
        <v>12.8736323545455</v>
      </c>
      <c r="L213" s="26" t="str">
        <f aca="false">IF($E213="Winter",$K213,"")</f>
        <v/>
      </c>
      <c r="M213" s="26" t="n">
        <f aca="false">IF($E213="Lente",$K213,"")</f>
        <v>12.8736323545455</v>
      </c>
      <c r="N213" s="26" t="str">
        <f aca="false">IF($E213="Zomer",$K213,"")</f>
        <v/>
      </c>
      <c r="O213" s="26" t="str">
        <f aca="false">IF($E213="Herfst",$K213,"")</f>
        <v/>
      </c>
    </row>
    <row r="214" customFormat="false" ht="15" hidden="false" customHeight="true" outlineLevel="0" collapsed="false">
      <c r="A214" s="23" t="n">
        <v>46110</v>
      </c>
      <c r="B214" s="24" t="n">
        <v>9.55</v>
      </c>
      <c r="C214" s="24" t="n">
        <v>12.99</v>
      </c>
      <c r="D214" s="24" t="n">
        <v>8.86</v>
      </c>
      <c r="E214" s="24" t="s">
        <v>23</v>
      </c>
      <c r="F214" s="24" t="n">
        <v>12.98</v>
      </c>
      <c r="G214" s="25" t="n">
        <v>11</v>
      </c>
      <c r="H214" s="24" t="n">
        <v>9.44</v>
      </c>
      <c r="I214" s="25" t="n">
        <v>13</v>
      </c>
      <c r="J214" s="24" t="n">
        <v>9.86</v>
      </c>
      <c r="K214" s="26" t="n">
        <f aca="false">MAX(0,MIN(Instellingen!$B$8*MIN(F214,Instellingen!$B$4*G214),MIN(H214,Instellingen!$B$4*I214)/Instellingen!$B$8))</f>
        <v>9.9506337039965</v>
      </c>
      <c r="L214" s="26" t="str">
        <f aca="false">IF($E214="Winter",$K214,"")</f>
        <v/>
      </c>
      <c r="M214" s="26" t="n">
        <f aca="false">IF($E214="Lente",$K214,"")</f>
        <v>9.9506337039965</v>
      </c>
      <c r="N214" s="26" t="str">
        <f aca="false">IF($E214="Zomer",$K214,"")</f>
        <v/>
      </c>
      <c r="O214" s="26" t="str">
        <f aca="false">IF($E214="Herfst",$K214,"")</f>
        <v/>
      </c>
    </row>
    <row r="215" customFormat="false" ht="15" hidden="false" customHeight="true" outlineLevel="0" collapsed="false">
      <c r="A215" s="23" t="n">
        <v>46111</v>
      </c>
      <c r="B215" s="24" t="n">
        <v>13.46</v>
      </c>
      <c r="C215" s="24" t="n">
        <v>16.41</v>
      </c>
      <c r="D215" s="24" t="n">
        <v>11.65</v>
      </c>
      <c r="E215" s="24" t="s">
        <v>23</v>
      </c>
      <c r="F215" s="24" t="n">
        <v>16.41</v>
      </c>
      <c r="G215" s="25" t="n">
        <v>12</v>
      </c>
      <c r="H215" s="24" t="n">
        <v>11.11</v>
      </c>
      <c r="I215" s="25" t="n">
        <v>12</v>
      </c>
      <c r="J215" s="24" t="n">
        <v>10.05</v>
      </c>
      <c r="K215" s="26" t="n">
        <f aca="false">MAX(0,MIN(Instellingen!$B$8*MIN(F215,Instellingen!$B$4*G215),MIN(H215,Instellingen!$B$4*I215)/Instellingen!$B$8))</f>
        <v>11.7109682681569</v>
      </c>
      <c r="L215" s="26" t="str">
        <f aca="false">IF($E215="Winter",$K215,"")</f>
        <v/>
      </c>
      <c r="M215" s="26" t="n">
        <f aca="false">IF($E215="Lente",$K215,"")</f>
        <v>11.7109682681569</v>
      </c>
      <c r="N215" s="26" t="str">
        <f aca="false">IF($E215="Zomer",$K215,"")</f>
        <v/>
      </c>
      <c r="O215" s="26" t="str">
        <f aca="false">IF($E215="Herfst",$K215,"")</f>
        <v/>
      </c>
    </row>
    <row r="216" customFormat="false" ht="15" hidden="false" customHeight="true" outlineLevel="0" collapsed="false">
      <c r="A216" s="23" t="n">
        <v>46112</v>
      </c>
      <c r="B216" s="24" t="n">
        <v>10.11</v>
      </c>
      <c r="C216" s="24" t="n">
        <v>18.92</v>
      </c>
      <c r="D216" s="24" t="n">
        <v>7.59</v>
      </c>
      <c r="E216" s="24" t="s">
        <v>23</v>
      </c>
      <c r="F216" s="24" t="n">
        <v>18.92</v>
      </c>
      <c r="G216" s="25" t="n">
        <v>12</v>
      </c>
      <c r="H216" s="24" t="n">
        <v>7.71</v>
      </c>
      <c r="I216" s="25" t="n">
        <v>12</v>
      </c>
      <c r="J216" s="24" t="n">
        <v>8.04</v>
      </c>
      <c r="K216" s="26" t="n">
        <f aca="false">MAX(0,MIN(Instellingen!$B$8*MIN(F216,Instellingen!$B$4*G216),MIN(H216,Instellingen!$B$4*I216)/Instellingen!$B$8))</f>
        <v>8.12705358663274</v>
      </c>
      <c r="L216" s="26" t="str">
        <f aca="false">IF($E216="Winter",$K216,"")</f>
        <v/>
      </c>
      <c r="M216" s="26" t="n">
        <f aca="false">IF($E216="Lente",$K216,"")</f>
        <v>8.12705358663274</v>
      </c>
      <c r="N216" s="26" t="str">
        <f aca="false">IF($E216="Zomer",$K216,"")</f>
        <v/>
      </c>
      <c r="O216" s="26" t="str">
        <f aca="false">IF($E216="Herfst",$K216,"")</f>
        <v/>
      </c>
    </row>
    <row r="217" customFormat="false" ht="15" hidden="false" customHeight="true" outlineLevel="0" collapsed="false">
      <c r="A217" s="23" t="n">
        <v>46113</v>
      </c>
      <c r="B217" s="24" t="n">
        <v>12.11</v>
      </c>
      <c r="C217" s="24" t="n">
        <v>22.46</v>
      </c>
      <c r="D217" s="24" t="n">
        <v>11.33</v>
      </c>
      <c r="E217" s="24" t="s">
        <v>23</v>
      </c>
      <c r="F217" s="24" t="n">
        <v>22.46</v>
      </c>
      <c r="G217" s="25" t="n">
        <v>12</v>
      </c>
      <c r="H217" s="24" t="n">
        <v>13.88</v>
      </c>
      <c r="I217" s="25" t="n">
        <v>13</v>
      </c>
      <c r="J217" s="24" t="n">
        <v>13.67</v>
      </c>
      <c r="K217" s="26" t="n">
        <f aca="false">MAX(0,MIN(Instellingen!$B$8*MIN(F217,Instellingen!$B$4*G217),MIN(H217,Instellingen!$B$4*I217)/Instellingen!$B$8))</f>
        <v>14.6308046410457</v>
      </c>
      <c r="L217" s="26" t="str">
        <f aca="false">IF($E217="Winter",$K217,"")</f>
        <v/>
      </c>
      <c r="M217" s="26" t="n">
        <f aca="false">IF($E217="Lente",$K217,"")</f>
        <v>14.6308046410457</v>
      </c>
      <c r="N217" s="26" t="str">
        <f aca="false">IF($E217="Zomer",$K217,"")</f>
        <v/>
      </c>
      <c r="O217" s="26" t="str">
        <f aca="false">IF($E217="Herfst",$K217,"")</f>
        <v/>
      </c>
    </row>
    <row r="218" customFormat="false" ht="15" hidden="false" customHeight="true" outlineLevel="0" collapsed="false">
      <c r="A218" s="23" t="n">
        <v>46114</v>
      </c>
      <c r="B218" s="24" t="n">
        <v>25.77</v>
      </c>
      <c r="C218" s="24" t="n">
        <v>1.62</v>
      </c>
      <c r="D218" s="24" t="n">
        <v>22.7</v>
      </c>
      <c r="E218" s="24" t="s">
        <v>23</v>
      </c>
      <c r="F218" s="24" t="n">
        <v>1.63</v>
      </c>
      <c r="G218" s="25" t="n">
        <v>7</v>
      </c>
      <c r="H218" s="24" t="n">
        <v>20.21</v>
      </c>
      <c r="I218" s="25" t="n">
        <v>17</v>
      </c>
      <c r="J218" s="24" t="n">
        <v>1.5</v>
      </c>
      <c r="K218" s="26" t="n">
        <f aca="false">MAX(0,MIN(Instellingen!$B$8*MIN(F218,Instellingen!$B$4*G218),MIN(H218,Instellingen!$B$4*I218)/Instellingen!$B$8))</f>
        <v>1.54635377582234</v>
      </c>
      <c r="L218" s="26" t="str">
        <f aca="false">IF($E218="Winter",$K218,"")</f>
        <v/>
      </c>
      <c r="M218" s="26" t="n">
        <f aca="false">IF($E218="Lente",$K218,"")</f>
        <v>1.54635377582234</v>
      </c>
      <c r="N218" s="26" t="str">
        <f aca="false">IF($E218="Zomer",$K218,"")</f>
        <v/>
      </c>
      <c r="O218" s="26" t="str">
        <f aca="false">IF($E218="Herfst",$K218,"")</f>
        <v/>
      </c>
    </row>
    <row r="219" customFormat="false" ht="15" hidden="false" customHeight="true" outlineLevel="0" collapsed="false">
      <c r="A219" s="23" t="n">
        <v>46115</v>
      </c>
      <c r="B219" s="24" t="n">
        <v>10.2</v>
      </c>
      <c r="C219" s="24" t="n">
        <v>6.66</v>
      </c>
      <c r="D219" s="24" t="n">
        <v>8.02</v>
      </c>
      <c r="E219" s="24" t="s">
        <v>23</v>
      </c>
      <c r="F219" s="24" t="n">
        <v>6.66</v>
      </c>
      <c r="G219" s="25" t="n">
        <v>9</v>
      </c>
      <c r="H219" s="24" t="n">
        <v>7.8</v>
      </c>
      <c r="I219" s="25" t="n">
        <v>14</v>
      </c>
      <c r="J219" s="24" t="n">
        <v>6.25</v>
      </c>
      <c r="K219" s="26" t="n">
        <f aca="false">MAX(0,MIN(Instellingen!$B$8*MIN(F219,Instellingen!$B$4*G219),MIN(H219,Instellingen!$B$4*I219)/Instellingen!$B$8))</f>
        <v>6.31823076501642</v>
      </c>
      <c r="L219" s="26" t="str">
        <f aca="false">IF($E219="Winter",$K219,"")</f>
        <v/>
      </c>
      <c r="M219" s="26" t="n">
        <f aca="false">IF($E219="Lente",$K219,"")</f>
        <v>6.31823076501642</v>
      </c>
      <c r="N219" s="26" t="str">
        <f aca="false">IF($E219="Zomer",$K219,"")</f>
        <v/>
      </c>
      <c r="O219" s="26" t="str">
        <f aca="false">IF($E219="Herfst",$K219,"")</f>
        <v/>
      </c>
    </row>
    <row r="220" customFormat="false" ht="15" hidden="false" customHeight="true" outlineLevel="0" collapsed="false">
      <c r="A220" s="23" t="n">
        <v>46116</v>
      </c>
      <c r="B220" s="24" t="n">
        <v>8.45</v>
      </c>
      <c r="C220" s="24" t="n">
        <v>14.4</v>
      </c>
      <c r="D220" s="24" t="n">
        <v>5.19</v>
      </c>
      <c r="E220" s="24" t="s">
        <v>23</v>
      </c>
      <c r="F220" s="24" t="n">
        <v>14.4</v>
      </c>
      <c r="G220" s="25" t="n">
        <v>12</v>
      </c>
      <c r="H220" s="24" t="n">
        <v>5.36</v>
      </c>
      <c r="I220" s="25" t="n">
        <v>12</v>
      </c>
      <c r="J220" s="24" t="n">
        <v>5.6</v>
      </c>
      <c r="K220" s="26" t="n">
        <f aca="false">MAX(0,MIN(Instellingen!$B$8*MIN(F220,Instellingen!$B$4*G220),MIN(H220,Instellingen!$B$4*I220)/Instellingen!$B$8))</f>
        <v>5.6499360861675</v>
      </c>
      <c r="L220" s="26" t="str">
        <f aca="false">IF($E220="Winter",$K220,"")</f>
        <v/>
      </c>
      <c r="M220" s="26" t="n">
        <f aca="false">IF($E220="Lente",$K220,"")</f>
        <v>5.6499360861675</v>
      </c>
      <c r="N220" s="26" t="str">
        <f aca="false">IF($E220="Zomer",$K220,"")</f>
        <v/>
      </c>
      <c r="O220" s="26" t="str">
        <f aca="false">IF($E220="Herfst",$K220,"")</f>
        <v/>
      </c>
    </row>
    <row r="221" customFormat="false" ht="15" hidden="false" customHeight="true" outlineLevel="0" collapsed="false">
      <c r="A221" s="23" t="n">
        <v>46117</v>
      </c>
      <c r="B221" s="24" t="n">
        <v>7.1</v>
      </c>
      <c r="C221" s="24" t="n">
        <v>15.54</v>
      </c>
      <c r="D221" s="24" t="n">
        <v>5.47</v>
      </c>
      <c r="E221" s="24" t="s">
        <v>23</v>
      </c>
      <c r="F221" s="24" t="n">
        <v>15.54</v>
      </c>
      <c r="G221" s="25" t="n">
        <v>12</v>
      </c>
      <c r="H221" s="24" t="n">
        <v>5.17</v>
      </c>
      <c r="I221" s="25" t="n">
        <v>11</v>
      </c>
      <c r="J221" s="24" t="n">
        <v>5.4</v>
      </c>
      <c r="K221" s="26" t="n">
        <f aca="false">MAX(0,MIN(Instellingen!$B$8*MIN(F221,Instellingen!$B$4*G221),MIN(H221,Instellingen!$B$4*I221)/Instellingen!$B$8))</f>
        <v>5.44965850102351</v>
      </c>
      <c r="L221" s="26" t="str">
        <f aca="false">IF($E221="Winter",$K221,"")</f>
        <v/>
      </c>
      <c r="M221" s="26" t="n">
        <f aca="false">IF($E221="Lente",$K221,"")</f>
        <v>5.44965850102351</v>
      </c>
      <c r="N221" s="26" t="str">
        <f aca="false">IF($E221="Zomer",$K221,"")</f>
        <v/>
      </c>
      <c r="O221" s="26" t="str">
        <f aca="false">IF($E221="Herfst",$K221,"")</f>
        <v/>
      </c>
    </row>
    <row r="222" customFormat="false" ht="15" hidden="false" customHeight="true" outlineLevel="0" collapsed="false">
      <c r="A222" s="23" t="n">
        <v>46118</v>
      </c>
      <c r="B222" s="24" t="n">
        <v>4.99</v>
      </c>
      <c r="C222" s="24" t="n">
        <v>28.77</v>
      </c>
      <c r="D222" s="24" t="n">
        <v>2.76</v>
      </c>
      <c r="E222" s="24" t="s">
        <v>23</v>
      </c>
      <c r="F222" s="24" t="n">
        <v>28.77</v>
      </c>
      <c r="G222" s="25" t="n">
        <v>14</v>
      </c>
      <c r="H222" s="24" t="n">
        <v>2.5</v>
      </c>
      <c r="I222" s="25" t="n">
        <v>10</v>
      </c>
      <c r="J222" s="24" t="n">
        <v>2.61</v>
      </c>
      <c r="K222" s="26" t="n">
        <f aca="false">MAX(0,MIN(Instellingen!$B$8*MIN(F222,Instellingen!$B$4*G222),MIN(H222,Instellingen!$B$4*I222)/Instellingen!$B$8))</f>
        <v>2.63523138347365</v>
      </c>
      <c r="L222" s="26" t="str">
        <f aca="false">IF($E222="Winter",$K222,"")</f>
        <v/>
      </c>
      <c r="M222" s="26" t="n">
        <f aca="false">IF($E222="Lente",$K222,"")</f>
        <v>2.63523138347365</v>
      </c>
      <c r="N222" s="26" t="str">
        <f aca="false">IF($E222="Zomer",$K222,"")</f>
        <v/>
      </c>
      <c r="O222" s="26" t="str">
        <f aca="false">IF($E222="Herfst",$K222,"")</f>
        <v/>
      </c>
    </row>
    <row r="223" customFormat="false" ht="15" hidden="false" customHeight="true" outlineLevel="0" collapsed="false">
      <c r="A223" s="23" t="n">
        <v>46119</v>
      </c>
      <c r="B223" s="24" t="n">
        <v>4.09</v>
      </c>
      <c r="C223" s="24" t="n">
        <v>30.78</v>
      </c>
      <c r="D223" s="24" t="n">
        <v>2.56</v>
      </c>
      <c r="E223" s="24" t="s">
        <v>23</v>
      </c>
      <c r="F223" s="24" t="n">
        <v>30.78</v>
      </c>
      <c r="G223" s="25" t="n">
        <v>5</v>
      </c>
      <c r="H223" s="24" t="n">
        <v>2.63</v>
      </c>
      <c r="I223" s="25" t="n">
        <v>19</v>
      </c>
      <c r="J223" s="24" t="n">
        <v>2.74</v>
      </c>
      <c r="K223" s="26" t="n">
        <f aca="false">MAX(0,MIN(Instellingen!$B$8*MIN(F223,Instellingen!$B$4*G223),MIN(H223,Instellingen!$B$4*I223)/Instellingen!$B$8))</f>
        <v>2.77226341541428</v>
      </c>
      <c r="L223" s="26" t="str">
        <f aca="false">IF($E223="Winter",$K223,"")</f>
        <v/>
      </c>
      <c r="M223" s="26" t="n">
        <f aca="false">IF($E223="Lente",$K223,"")</f>
        <v>2.77226341541428</v>
      </c>
      <c r="N223" s="26" t="str">
        <f aca="false">IF($E223="Zomer",$K223,"")</f>
        <v/>
      </c>
      <c r="O223" s="26" t="str">
        <f aca="false">IF($E223="Herfst",$K223,"")</f>
        <v/>
      </c>
    </row>
    <row r="224" customFormat="false" ht="15" hidden="false" customHeight="true" outlineLevel="0" collapsed="false">
      <c r="A224" s="23" t="n">
        <v>46120</v>
      </c>
      <c r="B224" s="24" t="n">
        <v>7.87</v>
      </c>
      <c r="C224" s="24" t="n">
        <v>23.85</v>
      </c>
      <c r="D224" s="24" t="n">
        <v>6.34</v>
      </c>
      <c r="E224" s="24" t="s">
        <v>23</v>
      </c>
      <c r="F224" s="24" t="n">
        <v>23.86</v>
      </c>
      <c r="G224" s="25" t="n">
        <v>13</v>
      </c>
      <c r="H224" s="24" t="n">
        <v>6.94</v>
      </c>
      <c r="I224" s="25" t="n">
        <v>12</v>
      </c>
      <c r="J224" s="24" t="n">
        <v>7.24</v>
      </c>
      <c r="K224" s="26" t="n">
        <f aca="false">MAX(0,MIN(Instellingen!$B$8*MIN(F224,Instellingen!$B$4*G224),MIN(H224,Instellingen!$B$4*I224)/Instellingen!$B$8))</f>
        <v>7.31540232052285</v>
      </c>
      <c r="L224" s="26" t="str">
        <f aca="false">IF($E224="Winter",$K224,"")</f>
        <v/>
      </c>
      <c r="M224" s="26" t="n">
        <f aca="false">IF($E224="Lente",$K224,"")</f>
        <v>7.31540232052285</v>
      </c>
      <c r="N224" s="26" t="str">
        <f aca="false">IF($E224="Zomer",$K224,"")</f>
        <v/>
      </c>
      <c r="O224" s="26" t="str">
        <f aca="false">IF($E224="Herfst",$K224,"")</f>
        <v/>
      </c>
    </row>
    <row r="225" customFormat="false" ht="15" hidden="false" customHeight="true" outlineLevel="0" collapsed="false">
      <c r="A225" s="23" t="n">
        <v>46121</v>
      </c>
      <c r="B225" s="24" t="n">
        <v>5.22</v>
      </c>
      <c r="C225" s="24" t="n">
        <v>19.65</v>
      </c>
      <c r="D225" s="24" t="n">
        <v>4.56</v>
      </c>
      <c r="E225" s="24" t="s">
        <v>23</v>
      </c>
      <c r="F225" s="24" t="n">
        <v>19.65</v>
      </c>
      <c r="G225" s="25" t="n">
        <v>11</v>
      </c>
      <c r="H225" s="24" t="n">
        <v>4.63</v>
      </c>
      <c r="I225" s="25" t="n">
        <v>14</v>
      </c>
      <c r="J225" s="24" t="n">
        <v>4.82</v>
      </c>
      <c r="K225" s="26" t="n">
        <f aca="false">MAX(0,MIN(Instellingen!$B$8*MIN(F225,Instellingen!$B$4*G225),MIN(H225,Instellingen!$B$4*I225)/Instellingen!$B$8))</f>
        <v>4.8804485221932</v>
      </c>
      <c r="L225" s="26" t="str">
        <f aca="false">IF($E225="Winter",$K225,"")</f>
        <v/>
      </c>
      <c r="M225" s="26" t="n">
        <f aca="false">IF($E225="Lente",$K225,"")</f>
        <v>4.8804485221932</v>
      </c>
      <c r="N225" s="26" t="str">
        <f aca="false">IF($E225="Zomer",$K225,"")</f>
        <v/>
      </c>
      <c r="O225" s="26" t="str">
        <f aca="false">IF($E225="Herfst",$K225,"")</f>
        <v/>
      </c>
    </row>
    <row r="226" customFormat="false" ht="15" hidden="false" customHeight="true" outlineLevel="0" collapsed="false">
      <c r="A226" s="23" t="n">
        <v>46122</v>
      </c>
      <c r="B226" s="24" t="n">
        <v>5.76</v>
      </c>
      <c r="C226" s="24" t="n">
        <v>19.63</v>
      </c>
      <c r="D226" s="24" t="n">
        <v>4.68</v>
      </c>
      <c r="E226" s="24" t="s">
        <v>23</v>
      </c>
      <c r="F226" s="24" t="n">
        <v>19.62</v>
      </c>
      <c r="G226" s="25" t="n">
        <v>11</v>
      </c>
      <c r="H226" s="24" t="n">
        <v>4.17</v>
      </c>
      <c r="I226" s="25" t="n">
        <v>12</v>
      </c>
      <c r="J226" s="24" t="n">
        <v>4.36</v>
      </c>
      <c r="K226" s="26" t="n">
        <f aca="false">MAX(0,MIN(Instellingen!$B$8*MIN(F226,Instellingen!$B$4*G226),MIN(H226,Instellingen!$B$4*I226)/Instellingen!$B$8))</f>
        <v>4.39556594763405</v>
      </c>
      <c r="L226" s="26" t="str">
        <f aca="false">IF($E226="Winter",$K226,"")</f>
        <v/>
      </c>
      <c r="M226" s="26" t="n">
        <f aca="false">IF($E226="Lente",$K226,"")</f>
        <v>4.39556594763405</v>
      </c>
      <c r="N226" s="26" t="str">
        <f aca="false">IF($E226="Zomer",$K226,"")</f>
        <v/>
      </c>
      <c r="O226" s="26" t="str">
        <f aca="false">IF($E226="Herfst",$K226,"")</f>
        <v/>
      </c>
    </row>
    <row r="227" customFormat="false" ht="15" hidden="false" customHeight="true" outlineLevel="0" collapsed="false">
      <c r="A227" s="23" t="n">
        <v>46123</v>
      </c>
      <c r="B227" s="24" t="n">
        <v>16.5</v>
      </c>
      <c r="C227" s="24" t="n">
        <v>10.99</v>
      </c>
      <c r="D227" s="24" t="n">
        <v>12.41</v>
      </c>
      <c r="E227" s="24" t="s">
        <v>23</v>
      </c>
      <c r="F227" s="24" t="n">
        <v>10.99</v>
      </c>
      <c r="G227" s="25" t="n">
        <v>9</v>
      </c>
      <c r="H227" s="24" t="n">
        <v>12.25</v>
      </c>
      <c r="I227" s="25" t="n">
        <v>14</v>
      </c>
      <c r="J227" s="24" t="n">
        <v>9.79</v>
      </c>
      <c r="K227" s="26" t="n">
        <f aca="false">MAX(0,MIN(Instellingen!$B$8*MIN(F227,Instellingen!$B$4*G227),MIN(H227,Instellingen!$B$4*I227)/Instellingen!$B$8))</f>
        <v>10.4260294455751</v>
      </c>
      <c r="L227" s="26" t="str">
        <f aca="false">IF($E227="Winter",$K227,"")</f>
        <v/>
      </c>
      <c r="M227" s="26" t="n">
        <f aca="false">IF($E227="Lente",$K227,"")</f>
        <v>10.4260294455751</v>
      </c>
      <c r="N227" s="26" t="str">
        <f aca="false">IF($E227="Zomer",$K227,"")</f>
        <v/>
      </c>
      <c r="O227" s="26" t="str">
        <f aca="false">IF($E227="Herfst",$K227,"")</f>
        <v/>
      </c>
    </row>
    <row r="228" customFormat="false" ht="15" hidden="false" customHeight="true" outlineLevel="0" collapsed="false">
      <c r="A228" s="23" t="n">
        <v>46124</v>
      </c>
      <c r="B228" s="24" t="n">
        <v>8.51</v>
      </c>
      <c r="C228" s="24" t="n">
        <v>22.45</v>
      </c>
      <c r="D228" s="24" t="n">
        <v>5.89</v>
      </c>
      <c r="E228" s="24" t="s">
        <v>23</v>
      </c>
      <c r="F228" s="24" t="n">
        <v>22.45</v>
      </c>
      <c r="G228" s="25" t="n">
        <v>13</v>
      </c>
      <c r="H228" s="24" t="n">
        <v>6.07</v>
      </c>
      <c r="I228" s="25" t="n">
        <v>11</v>
      </c>
      <c r="J228" s="24" t="n">
        <v>6.33</v>
      </c>
      <c r="K228" s="26" t="n">
        <f aca="false">MAX(0,MIN(Instellingen!$B$8*MIN(F228,Instellingen!$B$4*G228),MIN(H228,Instellingen!$B$4*I228)/Instellingen!$B$8))</f>
        <v>6.39834179907402</v>
      </c>
      <c r="L228" s="26" t="str">
        <f aca="false">IF($E228="Winter",$K228,"")</f>
        <v/>
      </c>
      <c r="M228" s="26" t="n">
        <f aca="false">IF($E228="Lente",$K228,"")</f>
        <v>6.39834179907402</v>
      </c>
      <c r="N228" s="26" t="str">
        <f aca="false">IF($E228="Zomer",$K228,"")</f>
        <v/>
      </c>
      <c r="O228" s="26" t="str">
        <f aca="false">IF($E228="Herfst",$K228,"")</f>
        <v/>
      </c>
    </row>
    <row r="229" customFormat="false" ht="15" hidden="false" customHeight="true" outlineLevel="0" collapsed="false">
      <c r="A229" s="23" t="n">
        <v>46125</v>
      </c>
      <c r="B229" s="24" t="n">
        <v>2.51</v>
      </c>
      <c r="C229" s="24" t="n">
        <v>13.58</v>
      </c>
      <c r="D229" s="24" t="n">
        <v>1.79</v>
      </c>
      <c r="E229" s="24" t="s">
        <v>23</v>
      </c>
      <c r="F229" s="24" t="n">
        <v>13.58</v>
      </c>
      <c r="G229" s="25" t="n">
        <v>12</v>
      </c>
      <c r="H229" s="24" t="n">
        <v>8.05</v>
      </c>
      <c r="I229" s="25" t="n">
        <v>12</v>
      </c>
      <c r="J229" s="24" t="n">
        <v>3.27</v>
      </c>
      <c r="K229" s="26" t="n">
        <f aca="false">MAX(0,MIN(Instellingen!$B$8*MIN(F229,Instellingen!$B$4*G229),MIN(H229,Instellingen!$B$4*I229)/Instellingen!$B$8))</f>
        <v>8.48544505478515</v>
      </c>
      <c r="L229" s="26" t="str">
        <f aca="false">IF($E229="Winter",$K229,"")</f>
        <v/>
      </c>
      <c r="M229" s="26" t="n">
        <f aca="false">IF($E229="Lente",$K229,"")</f>
        <v>8.48544505478515</v>
      </c>
      <c r="N229" s="26" t="str">
        <f aca="false">IF($E229="Zomer",$K229,"")</f>
        <v/>
      </c>
      <c r="O229" s="26" t="str">
        <f aca="false">IF($E229="Herfst",$K229,"")</f>
        <v/>
      </c>
    </row>
    <row r="230" customFormat="false" ht="15" hidden="false" customHeight="true" outlineLevel="0" collapsed="false">
      <c r="A230" s="23" t="n">
        <v>46126</v>
      </c>
      <c r="B230" s="24" t="n">
        <v>11.3</v>
      </c>
      <c r="C230" s="24" t="n">
        <v>29.67</v>
      </c>
      <c r="D230" s="24" t="n">
        <v>9.8</v>
      </c>
      <c r="E230" s="24" t="s">
        <v>23</v>
      </c>
      <c r="F230" s="24" t="n">
        <v>29.67</v>
      </c>
      <c r="G230" s="25" t="n">
        <v>14</v>
      </c>
      <c r="H230" s="24" t="n">
        <v>3.44</v>
      </c>
      <c r="I230" s="25" t="n">
        <v>10</v>
      </c>
      <c r="J230" s="24" t="n">
        <v>3.59</v>
      </c>
      <c r="K230" s="26" t="n">
        <f aca="false">MAX(0,MIN(Instellingen!$B$8*MIN(F230,Instellingen!$B$4*G230),MIN(H230,Instellingen!$B$4*I230)/Instellingen!$B$8))</f>
        <v>3.62607838365974</v>
      </c>
      <c r="L230" s="26" t="str">
        <f aca="false">IF($E230="Winter",$K230,"")</f>
        <v/>
      </c>
      <c r="M230" s="26" t="n">
        <f aca="false">IF($E230="Lente",$K230,"")</f>
        <v>3.62607838365974</v>
      </c>
      <c r="N230" s="26" t="str">
        <f aca="false">IF($E230="Zomer",$K230,"")</f>
        <v/>
      </c>
      <c r="O230" s="26" t="str">
        <f aca="false">IF($E230="Herfst",$K230,"")</f>
        <v/>
      </c>
    </row>
    <row r="231" customFormat="false" ht="15" hidden="false" customHeight="true" outlineLevel="0" collapsed="false">
      <c r="A231" s="23" t="n">
        <v>46127</v>
      </c>
      <c r="B231" s="24" t="n">
        <v>3.24</v>
      </c>
      <c r="C231" s="24" t="n">
        <v>26.9</v>
      </c>
      <c r="D231" s="24" t="n">
        <v>3.03</v>
      </c>
      <c r="E231" s="24" t="s">
        <v>23</v>
      </c>
      <c r="F231" s="24" t="n">
        <v>26.9</v>
      </c>
      <c r="G231" s="25" t="n">
        <v>12</v>
      </c>
      <c r="H231" s="24" t="n">
        <v>3.21</v>
      </c>
      <c r="I231" s="25" t="n">
        <v>12</v>
      </c>
      <c r="J231" s="24" t="n">
        <v>3.34</v>
      </c>
      <c r="K231" s="26" t="n">
        <f aca="false">MAX(0,MIN(Instellingen!$B$8*MIN(F231,Instellingen!$B$4*G231),MIN(H231,Instellingen!$B$4*I231)/Instellingen!$B$8))</f>
        <v>3.38363709638017</v>
      </c>
      <c r="L231" s="26" t="str">
        <f aca="false">IF($E231="Winter",$K231,"")</f>
        <v/>
      </c>
      <c r="M231" s="26" t="n">
        <f aca="false">IF($E231="Lente",$K231,"")</f>
        <v>3.38363709638017</v>
      </c>
      <c r="N231" s="26" t="str">
        <f aca="false">IF($E231="Zomer",$K231,"")</f>
        <v/>
      </c>
      <c r="O231" s="26" t="str">
        <f aca="false">IF($E231="Herfst",$K231,"")</f>
        <v/>
      </c>
    </row>
    <row r="232" customFormat="false" ht="15" hidden="false" customHeight="true" outlineLevel="0" collapsed="false">
      <c r="A232" s="23" t="n">
        <v>46128</v>
      </c>
      <c r="B232" s="24" t="n">
        <v>5.49</v>
      </c>
      <c r="C232" s="24" t="n">
        <v>23.72</v>
      </c>
      <c r="D232" s="24" t="n">
        <v>4.26</v>
      </c>
      <c r="E232" s="24" t="s">
        <v>23</v>
      </c>
      <c r="F232" s="24" t="n">
        <v>23.72</v>
      </c>
      <c r="G232" s="25" t="n">
        <v>13</v>
      </c>
      <c r="H232" s="24" t="n">
        <v>4.15</v>
      </c>
      <c r="I232" s="25" t="n">
        <v>11</v>
      </c>
      <c r="J232" s="24" t="n">
        <v>4.33</v>
      </c>
      <c r="K232" s="26" t="n">
        <f aca="false">MAX(0,MIN(Instellingen!$B$8*MIN(F232,Instellingen!$B$4*G232),MIN(H232,Instellingen!$B$4*I232)/Instellingen!$B$8))</f>
        <v>4.37448409656626</v>
      </c>
      <c r="L232" s="26" t="str">
        <f aca="false">IF($E232="Winter",$K232,"")</f>
        <v/>
      </c>
      <c r="M232" s="26" t="n">
        <f aca="false">IF($E232="Lente",$K232,"")</f>
        <v>4.37448409656626</v>
      </c>
      <c r="N232" s="26" t="str">
        <f aca="false">IF($E232="Zomer",$K232,"")</f>
        <v/>
      </c>
      <c r="O232" s="26" t="str">
        <f aca="false">IF($E232="Herfst",$K232,"")</f>
        <v/>
      </c>
    </row>
    <row r="233" customFormat="false" ht="15" hidden="false" customHeight="true" outlineLevel="0" collapsed="false">
      <c r="A233" s="23" t="n">
        <v>46129</v>
      </c>
      <c r="B233" s="24" t="n">
        <v>4.37</v>
      </c>
      <c r="C233" s="24" t="n">
        <v>22.45</v>
      </c>
      <c r="D233" s="24" t="n">
        <v>3.24</v>
      </c>
      <c r="E233" s="24" t="s">
        <v>23</v>
      </c>
      <c r="F233" s="24" t="n">
        <v>22.45</v>
      </c>
      <c r="G233" s="25" t="n">
        <v>13</v>
      </c>
      <c r="H233" s="24" t="n">
        <v>3.1</v>
      </c>
      <c r="I233" s="25" t="n">
        <v>11</v>
      </c>
      <c r="J233" s="24" t="n">
        <v>3.23</v>
      </c>
      <c r="K233" s="26" t="n">
        <f aca="false">MAX(0,MIN(Instellingen!$B$8*MIN(F233,Instellingen!$B$4*G233),MIN(H233,Instellingen!$B$4*I233)/Instellingen!$B$8))</f>
        <v>3.26768691550733</v>
      </c>
      <c r="L233" s="26" t="str">
        <f aca="false">IF($E233="Winter",$K233,"")</f>
        <v/>
      </c>
      <c r="M233" s="26" t="n">
        <f aca="false">IF($E233="Lente",$K233,"")</f>
        <v>3.26768691550733</v>
      </c>
      <c r="N233" s="26" t="str">
        <f aca="false">IF($E233="Zomer",$K233,"")</f>
        <v/>
      </c>
      <c r="O233" s="26" t="str">
        <f aca="false">IF($E233="Herfst",$K233,"")</f>
        <v/>
      </c>
    </row>
    <row r="234" customFormat="false" ht="15" hidden="false" customHeight="true" outlineLevel="0" collapsed="false">
      <c r="A234" s="23" t="n">
        <v>46130</v>
      </c>
      <c r="B234" s="24" t="n">
        <v>10.45</v>
      </c>
      <c r="C234" s="24" t="n">
        <v>10.97</v>
      </c>
      <c r="D234" s="24" t="n">
        <v>8.86</v>
      </c>
      <c r="E234" s="24" t="s">
        <v>23</v>
      </c>
      <c r="F234" s="24" t="n">
        <v>10.97</v>
      </c>
      <c r="G234" s="25" t="n">
        <v>14</v>
      </c>
      <c r="H234" s="24" t="n">
        <v>9.91</v>
      </c>
      <c r="I234" s="25" t="n">
        <v>10</v>
      </c>
      <c r="J234" s="24" t="n">
        <v>8.67</v>
      </c>
      <c r="K234" s="26" t="n">
        <f aca="false">MAX(0,MIN(Instellingen!$B$8*MIN(F234,Instellingen!$B$4*G234),MIN(H234,Instellingen!$B$4*I234)/Instellingen!$B$8))</f>
        <v>10.4070557796141</v>
      </c>
      <c r="L234" s="26" t="str">
        <f aca="false">IF($E234="Winter",$K234,"")</f>
        <v/>
      </c>
      <c r="M234" s="26" t="n">
        <f aca="false">IF($E234="Lente",$K234,"")</f>
        <v>10.4070557796141</v>
      </c>
      <c r="N234" s="26" t="str">
        <f aca="false">IF($E234="Zomer",$K234,"")</f>
        <v/>
      </c>
      <c r="O234" s="26" t="str">
        <f aca="false">IF($E234="Herfst",$K234,"")</f>
        <v/>
      </c>
    </row>
    <row r="235" customFormat="false" ht="15" hidden="false" customHeight="true" outlineLevel="0" collapsed="false">
      <c r="A235" s="23" t="n">
        <v>46131</v>
      </c>
      <c r="B235" s="24" t="n">
        <v>9.57</v>
      </c>
      <c r="C235" s="24" t="n">
        <v>21.37</v>
      </c>
      <c r="D235" s="24" t="n">
        <v>7.07</v>
      </c>
      <c r="E235" s="24" t="s">
        <v>23</v>
      </c>
      <c r="F235" s="24" t="n">
        <v>21.37</v>
      </c>
      <c r="G235" s="25" t="n">
        <v>13</v>
      </c>
      <c r="H235" s="24" t="n">
        <v>8.92</v>
      </c>
      <c r="I235" s="25" t="n">
        <v>11</v>
      </c>
      <c r="J235" s="24" t="n">
        <v>9.31</v>
      </c>
      <c r="K235" s="26" t="n">
        <f aca="false">MAX(0,MIN(Instellingen!$B$8*MIN(F235,Instellingen!$B$4*G235),MIN(H235,Instellingen!$B$4*I235)/Instellingen!$B$8))</f>
        <v>9.40250557623398</v>
      </c>
      <c r="L235" s="26" t="str">
        <f aca="false">IF($E235="Winter",$K235,"")</f>
        <v/>
      </c>
      <c r="M235" s="26" t="n">
        <f aca="false">IF($E235="Lente",$K235,"")</f>
        <v>9.40250557623398</v>
      </c>
      <c r="N235" s="26" t="str">
        <f aca="false">IF($E235="Zomer",$K235,"")</f>
        <v/>
      </c>
      <c r="O235" s="26" t="str">
        <f aca="false">IF($E235="Herfst",$K235,"")</f>
        <v/>
      </c>
    </row>
    <row r="236" customFormat="false" ht="15" hidden="false" customHeight="true" outlineLevel="0" collapsed="false">
      <c r="A236" s="23" t="n">
        <v>46132</v>
      </c>
      <c r="B236" s="24" t="n">
        <v>13.53</v>
      </c>
      <c r="C236" s="24" t="n">
        <v>11.07</v>
      </c>
      <c r="D236" s="24" t="n">
        <v>10.03</v>
      </c>
      <c r="E236" s="24" t="s">
        <v>23</v>
      </c>
      <c r="F236" s="24" t="n">
        <v>11.07</v>
      </c>
      <c r="G236" s="25" t="n">
        <v>11</v>
      </c>
      <c r="H236" s="24" t="n">
        <v>7.08</v>
      </c>
      <c r="I236" s="25" t="n">
        <v>13</v>
      </c>
      <c r="J236" s="24" t="n">
        <v>7.39</v>
      </c>
      <c r="K236" s="26" t="n">
        <f aca="false">MAX(0,MIN(Instellingen!$B$8*MIN(F236,Instellingen!$B$4*G236),MIN(H236,Instellingen!$B$4*I236)/Instellingen!$B$8))</f>
        <v>7.46297527799738</v>
      </c>
      <c r="L236" s="26" t="str">
        <f aca="false">IF($E236="Winter",$K236,"")</f>
        <v/>
      </c>
      <c r="M236" s="26" t="n">
        <f aca="false">IF($E236="Lente",$K236,"")</f>
        <v>7.46297527799738</v>
      </c>
      <c r="N236" s="26" t="str">
        <f aca="false">IF($E236="Zomer",$K236,"")</f>
        <v/>
      </c>
      <c r="O236" s="26" t="str">
        <f aca="false">IF($E236="Herfst",$K236,"")</f>
        <v/>
      </c>
    </row>
    <row r="237" customFormat="false" ht="15" hidden="false" customHeight="true" outlineLevel="0" collapsed="false">
      <c r="A237" s="23" t="n">
        <v>46133</v>
      </c>
      <c r="B237" s="24" t="n">
        <v>4.07</v>
      </c>
      <c r="C237" s="24" t="n">
        <v>35.59</v>
      </c>
      <c r="D237" s="24" t="n">
        <v>3.16</v>
      </c>
      <c r="E237" s="24" t="s">
        <v>23</v>
      </c>
      <c r="F237" s="24" t="n">
        <v>35.59</v>
      </c>
      <c r="G237" s="25" t="n">
        <v>14</v>
      </c>
      <c r="H237" s="24" t="n">
        <v>3.1</v>
      </c>
      <c r="I237" s="25" t="n">
        <v>10</v>
      </c>
      <c r="J237" s="24" t="n">
        <v>3.24</v>
      </c>
      <c r="K237" s="26" t="n">
        <f aca="false">MAX(0,MIN(Instellingen!$B$8*MIN(F237,Instellingen!$B$4*G237),MIN(H237,Instellingen!$B$4*I237)/Instellingen!$B$8))</f>
        <v>3.26768691550733</v>
      </c>
      <c r="L237" s="26" t="str">
        <f aca="false">IF($E237="Winter",$K237,"")</f>
        <v/>
      </c>
      <c r="M237" s="26" t="n">
        <f aca="false">IF($E237="Lente",$K237,"")</f>
        <v>3.26768691550733</v>
      </c>
      <c r="N237" s="26" t="str">
        <f aca="false">IF($E237="Zomer",$K237,"")</f>
        <v/>
      </c>
      <c r="O237" s="26" t="str">
        <f aca="false">IF($E237="Herfst",$K237,"")</f>
        <v/>
      </c>
    </row>
    <row r="238" customFormat="false" ht="15" hidden="false" customHeight="true" outlineLevel="0" collapsed="false">
      <c r="A238" s="23" t="n">
        <v>46134</v>
      </c>
      <c r="B238" s="24" t="n">
        <v>4.42</v>
      </c>
      <c r="C238" s="24" t="n">
        <v>35.17</v>
      </c>
      <c r="D238" s="24" t="n">
        <v>3.65</v>
      </c>
      <c r="E238" s="24" t="s">
        <v>23</v>
      </c>
      <c r="F238" s="24" t="n">
        <v>35.17</v>
      </c>
      <c r="G238" s="25" t="n">
        <v>14</v>
      </c>
      <c r="H238" s="24" t="n">
        <v>4.55</v>
      </c>
      <c r="I238" s="25" t="n">
        <v>10</v>
      </c>
      <c r="J238" s="24" t="n">
        <v>4.75</v>
      </c>
      <c r="K238" s="26" t="n">
        <f aca="false">MAX(0,MIN(Instellingen!$B$8*MIN(F238,Instellingen!$B$4*G238),MIN(H238,Instellingen!$B$4*I238)/Instellingen!$B$8))</f>
        <v>4.79612111792204</v>
      </c>
      <c r="L238" s="26" t="str">
        <f aca="false">IF($E238="Winter",$K238,"")</f>
        <v/>
      </c>
      <c r="M238" s="26" t="n">
        <f aca="false">IF($E238="Lente",$K238,"")</f>
        <v>4.79612111792204</v>
      </c>
      <c r="N238" s="26" t="str">
        <f aca="false">IF($E238="Zomer",$K238,"")</f>
        <v/>
      </c>
      <c r="O238" s="26" t="str">
        <f aca="false">IF($E238="Herfst",$K238,"")</f>
        <v/>
      </c>
    </row>
    <row r="239" customFormat="false" ht="15" hidden="false" customHeight="true" outlineLevel="0" collapsed="false">
      <c r="A239" s="23" t="n">
        <v>46135</v>
      </c>
      <c r="B239" s="24" t="n">
        <v>5.75</v>
      </c>
      <c r="C239" s="24" t="n">
        <v>36.99</v>
      </c>
      <c r="D239" s="24" t="n">
        <v>4.17</v>
      </c>
      <c r="E239" s="24" t="s">
        <v>23</v>
      </c>
      <c r="F239" s="24" t="n">
        <v>36.99</v>
      </c>
      <c r="G239" s="25" t="n">
        <v>14</v>
      </c>
      <c r="H239" s="24" t="n">
        <v>3.46</v>
      </c>
      <c r="I239" s="25" t="n">
        <v>10</v>
      </c>
      <c r="J239" s="24" t="n">
        <v>3.61</v>
      </c>
      <c r="K239" s="26" t="n">
        <f aca="false">MAX(0,MIN(Instellingen!$B$8*MIN(F239,Instellingen!$B$4*G239),MIN(H239,Instellingen!$B$4*I239)/Instellingen!$B$8))</f>
        <v>3.64716023472753</v>
      </c>
      <c r="L239" s="26" t="str">
        <f aca="false">IF($E239="Winter",$K239,"")</f>
        <v/>
      </c>
      <c r="M239" s="26" t="n">
        <f aca="false">IF($E239="Lente",$K239,"")</f>
        <v>3.64716023472753</v>
      </c>
      <c r="N239" s="26" t="str">
        <f aca="false">IF($E239="Zomer",$K239,"")</f>
        <v/>
      </c>
      <c r="O239" s="26" t="str">
        <f aca="false">IF($E239="Herfst",$K239,"")</f>
        <v/>
      </c>
    </row>
    <row r="240" customFormat="false" ht="15" hidden="false" customHeight="true" outlineLevel="0" collapsed="false">
      <c r="A240" s="23" t="n">
        <v>46136</v>
      </c>
      <c r="B240" s="24" t="n">
        <v>9.04</v>
      </c>
      <c r="C240" s="24" t="n">
        <v>34.5</v>
      </c>
      <c r="D240" s="24" t="n">
        <v>4.34</v>
      </c>
      <c r="E240" s="24" t="s">
        <v>23</v>
      </c>
      <c r="F240" s="24" t="n">
        <v>34.5</v>
      </c>
      <c r="G240" s="25" t="n">
        <v>14</v>
      </c>
      <c r="H240" s="24" t="n">
        <v>4.29</v>
      </c>
      <c r="I240" s="25" t="n">
        <v>10</v>
      </c>
      <c r="J240" s="24" t="n">
        <v>4.48</v>
      </c>
      <c r="K240" s="26" t="n">
        <f aca="false">MAX(0,MIN(Instellingen!$B$8*MIN(F240,Instellingen!$B$4*G240),MIN(H240,Instellingen!$B$4*I240)/Instellingen!$B$8))</f>
        <v>4.52205705404078</v>
      </c>
      <c r="L240" s="26" t="str">
        <f aca="false">IF($E240="Winter",$K240,"")</f>
        <v/>
      </c>
      <c r="M240" s="26" t="n">
        <f aca="false">IF($E240="Lente",$K240,"")</f>
        <v>4.52205705404078</v>
      </c>
      <c r="N240" s="26" t="str">
        <f aca="false">IF($E240="Zomer",$K240,"")</f>
        <v/>
      </c>
      <c r="O240" s="26" t="str">
        <f aca="false">IF($E240="Herfst",$K240,"")</f>
        <v/>
      </c>
    </row>
    <row r="241" customFormat="false" ht="15" hidden="false" customHeight="true" outlineLevel="0" collapsed="false">
      <c r="A241" s="23" t="n">
        <v>46137</v>
      </c>
      <c r="B241" s="24" t="n">
        <v>4.3</v>
      </c>
      <c r="C241" s="24" t="n">
        <v>27</v>
      </c>
      <c r="D241" s="24" t="n">
        <v>3.28</v>
      </c>
      <c r="E241" s="24" t="s">
        <v>23</v>
      </c>
      <c r="F241" s="24" t="n">
        <v>27</v>
      </c>
      <c r="G241" s="25" t="n">
        <v>14</v>
      </c>
      <c r="H241" s="24" t="n">
        <v>3.35</v>
      </c>
      <c r="I241" s="25" t="n">
        <v>9</v>
      </c>
      <c r="J241" s="24" t="n">
        <v>3.5</v>
      </c>
      <c r="K241" s="26" t="n">
        <f aca="false">MAX(0,MIN(Instellingen!$B$8*MIN(F241,Instellingen!$B$4*G241),MIN(H241,Instellingen!$B$4*I241)/Instellingen!$B$8))</f>
        <v>3.53121005385469</v>
      </c>
      <c r="L241" s="26" t="str">
        <f aca="false">IF($E241="Winter",$K241,"")</f>
        <v/>
      </c>
      <c r="M241" s="26" t="n">
        <f aca="false">IF($E241="Lente",$K241,"")</f>
        <v>3.53121005385469</v>
      </c>
      <c r="N241" s="26" t="str">
        <f aca="false">IF($E241="Zomer",$K241,"")</f>
        <v/>
      </c>
      <c r="O241" s="26" t="str">
        <f aca="false">IF($E241="Herfst",$K241,"")</f>
        <v/>
      </c>
    </row>
    <row r="242" customFormat="false" ht="15" hidden="false" customHeight="true" outlineLevel="0" collapsed="false">
      <c r="A242" s="23" t="n">
        <v>46138</v>
      </c>
      <c r="B242" s="24" t="n">
        <v>5.94</v>
      </c>
      <c r="C242" s="24" t="n">
        <v>29.3</v>
      </c>
      <c r="D242" s="24" t="n">
        <v>5.23</v>
      </c>
      <c r="E242" s="24" t="s">
        <v>23</v>
      </c>
      <c r="F242" s="24" t="n">
        <v>29.3</v>
      </c>
      <c r="G242" s="25" t="n">
        <v>15</v>
      </c>
      <c r="H242" s="24" t="n">
        <v>4.87</v>
      </c>
      <c r="I242" s="25" t="n">
        <v>9</v>
      </c>
      <c r="J242" s="24" t="n">
        <v>5.08</v>
      </c>
      <c r="K242" s="26" t="n">
        <f aca="false">MAX(0,MIN(Instellingen!$B$8*MIN(F242,Instellingen!$B$4*G242),MIN(H242,Instellingen!$B$4*I242)/Instellingen!$B$8))</f>
        <v>5.13343073500667</v>
      </c>
      <c r="L242" s="26" t="str">
        <f aca="false">IF($E242="Winter",$K242,"")</f>
        <v/>
      </c>
      <c r="M242" s="26" t="n">
        <f aca="false">IF($E242="Lente",$K242,"")</f>
        <v>5.13343073500667</v>
      </c>
      <c r="N242" s="26" t="str">
        <f aca="false">IF($E242="Zomer",$K242,"")</f>
        <v/>
      </c>
      <c r="O242" s="26" t="str">
        <f aca="false">IF($E242="Herfst",$K242,"")</f>
        <v/>
      </c>
    </row>
    <row r="243" customFormat="false" ht="15" hidden="false" customHeight="true" outlineLevel="0" collapsed="false">
      <c r="A243" s="23" t="n">
        <v>46139</v>
      </c>
      <c r="B243" s="24" t="n">
        <v>5.03</v>
      </c>
      <c r="C243" s="24" t="n">
        <v>27.96</v>
      </c>
      <c r="D243" s="24" t="n">
        <v>4.68</v>
      </c>
      <c r="E243" s="24" t="s">
        <v>23</v>
      </c>
      <c r="F243" s="24" t="n">
        <v>27.96</v>
      </c>
      <c r="G243" s="25" t="n">
        <v>14</v>
      </c>
      <c r="H243" s="24" t="n">
        <v>6.91</v>
      </c>
      <c r="I243" s="25" t="n">
        <v>11</v>
      </c>
      <c r="J243" s="24" t="n">
        <v>7.21</v>
      </c>
      <c r="K243" s="26" t="n">
        <f aca="false">MAX(0,MIN(Instellingen!$B$8*MIN(F243,Instellingen!$B$4*G243),MIN(H243,Instellingen!$B$4*I243)/Instellingen!$B$8))</f>
        <v>7.28377954392117</v>
      </c>
      <c r="L243" s="26" t="str">
        <f aca="false">IF($E243="Winter",$K243,"")</f>
        <v/>
      </c>
      <c r="M243" s="26" t="n">
        <f aca="false">IF($E243="Lente",$K243,"")</f>
        <v>7.28377954392117</v>
      </c>
      <c r="N243" s="26" t="str">
        <f aca="false">IF($E243="Zomer",$K243,"")</f>
        <v/>
      </c>
      <c r="O243" s="26" t="str">
        <f aca="false">IF($E243="Herfst",$K243,"")</f>
        <v/>
      </c>
    </row>
    <row r="244" customFormat="false" ht="15" hidden="false" customHeight="true" outlineLevel="0" collapsed="false">
      <c r="A244" s="23" t="n">
        <v>46140</v>
      </c>
      <c r="B244" s="24" t="n">
        <v>5.34</v>
      </c>
      <c r="C244" s="24" t="n">
        <v>30.86</v>
      </c>
      <c r="D244" s="24" t="n">
        <v>4.55</v>
      </c>
      <c r="E244" s="24" t="s">
        <v>23</v>
      </c>
      <c r="F244" s="24" t="n">
        <v>30.87</v>
      </c>
      <c r="G244" s="25" t="n">
        <v>14</v>
      </c>
      <c r="H244" s="24" t="n">
        <v>2.51</v>
      </c>
      <c r="I244" s="25" t="n">
        <v>10</v>
      </c>
      <c r="J244" s="24" t="n">
        <v>2.62</v>
      </c>
      <c r="K244" s="26" t="n">
        <f aca="false">MAX(0,MIN(Instellingen!$B$8*MIN(F244,Instellingen!$B$4*G244),MIN(H244,Instellingen!$B$4*I244)/Instellingen!$B$8))</f>
        <v>2.64577230900754</v>
      </c>
      <c r="L244" s="26" t="str">
        <f aca="false">IF($E244="Winter",$K244,"")</f>
        <v/>
      </c>
      <c r="M244" s="26" t="n">
        <f aca="false">IF($E244="Lente",$K244,"")</f>
        <v>2.64577230900754</v>
      </c>
      <c r="N244" s="26" t="str">
        <f aca="false">IF($E244="Zomer",$K244,"")</f>
        <v/>
      </c>
      <c r="O244" s="26" t="str">
        <f aca="false">IF($E244="Herfst",$K244,"")</f>
        <v/>
      </c>
    </row>
    <row r="245" customFormat="false" ht="15" hidden="false" customHeight="true" outlineLevel="0" collapsed="false">
      <c r="A245" s="23" t="n">
        <v>46141</v>
      </c>
      <c r="B245" s="24" t="n">
        <v>3.44</v>
      </c>
      <c r="C245" s="24" t="n">
        <v>33.61</v>
      </c>
      <c r="D245" s="24" t="n">
        <v>3.12</v>
      </c>
      <c r="E245" s="24" t="s">
        <v>23</v>
      </c>
      <c r="F245" s="24" t="n">
        <v>33.61</v>
      </c>
      <c r="G245" s="25" t="n">
        <v>14</v>
      </c>
      <c r="H245" s="24" t="n">
        <v>5.22</v>
      </c>
      <c r="I245" s="25" t="n">
        <v>10</v>
      </c>
      <c r="J245" s="24" t="n">
        <v>5.45</v>
      </c>
      <c r="K245" s="26" t="n">
        <f aca="false">MAX(0,MIN(Instellingen!$B$8*MIN(F245,Instellingen!$B$4*G245),MIN(H245,Instellingen!$B$4*I245)/Instellingen!$B$8))</f>
        <v>5.50236312869298</v>
      </c>
      <c r="L245" s="26" t="str">
        <f aca="false">IF($E245="Winter",$K245,"")</f>
        <v/>
      </c>
      <c r="M245" s="26" t="n">
        <f aca="false">IF($E245="Lente",$K245,"")</f>
        <v>5.50236312869298</v>
      </c>
      <c r="N245" s="26" t="str">
        <f aca="false">IF($E245="Zomer",$K245,"")</f>
        <v/>
      </c>
      <c r="O245" s="26" t="str">
        <f aca="false">IF($E245="Herfst",$K245,"")</f>
        <v/>
      </c>
    </row>
    <row r="246" customFormat="false" ht="15" hidden="false" customHeight="true" outlineLevel="0" collapsed="false">
      <c r="A246" s="23" t="n">
        <v>46142</v>
      </c>
      <c r="B246" s="24" t="n">
        <v>7.1</v>
      </c>
      <c r="C246" s="24" t="n">
        <v>31.92</v>
      </c>
      <c r="D246" s="24" t="n">
        <v>6.54</v>
      </c>
      <c r="E246" s="24" t="s">
        <v>23</v>
      </c>
      <c r="F246" s="24" t="n">
        <v>31.92</v>
      </c>
      <c r="G246" s="25" t="n">
        <v>14</v>
      </c>
      <c r="H246" s="24" t="n">
        <v>4.32</v>
      </c>
      <c r="I246" s="25" t="n">
        <v>9</v>
      </c>
      <c r="J246" s="24" t="n">
        <v>4.51</v>
      </c>
      <c r="K246" s="26" t="n">
        <f aca="false">MAX(0,MIN(Instellingen!$B$8*MIN(F246,Instellingen!$B$4*G246),MIN(H246,Instellingen!$B$4*I246)/Instellingen!$B$8))</f>
        <v>4.55367983064247</v>
      </c>
      <c r="L246" s="26" t="str">
        <f aca="false">IF($E246="Winter",$K246,"")</f>
        <v/>
      </c>
      <c r="M246" s="26" t="n">
        <f aca="false">IF($E246="Lente",$K246,"")</f>
        <v>4.55367983064247</v>
      </c>
      <c r="N246" s="26" t="str">
        <f aca="false">IF($E246="Zomer",$K246,"")</f>
        <v/>
      </c>
      <c r="O246" s="26" t="str">
        <f aca="false">IF($E246="Herfst",$K246,"")</f>
        <v/>
      </c>
    </row>
    <row r="247" customFormat="false" ht="15" hidden="false" customHeight="true" outlineLevel="0" collapsed="false">
      <c r="A247" s="23" t="n">
        <v>46143</v>
      </c>
      <c r="B247" s="24" t="n">
        <v>4.01</v>
      </c>
      <c r="C247" s="24" t="n">
        <v>32.36</v>
      </c>
      <c r="D247" s="24" t="n">
        <v>3.12</v>
      </c>
      <c r="E247" s="24" t="s">
        <v>23</v>
      </c>
      <c r="F247" s="24" t="n">
        <v>32.36</v>
      </c>
      <c r="G247" s="25" t="n">
        <v>15</v>
      </c>
      <c r="H247" s="24" t="n">
        <v>3.19</v>
      </c>
      <c r="I247" s="25" t="n">
        <v>9</v>
      </c>
      <c r="J247" s="24" t="n">
        <v>3.32</v>
      </c>
      <c r="K247" s="26" t="n">
        <f aca="false">MAX(0,MIN(Instellingen!$B$8*MIN(F247,Instellingen!$B$4*G247),MIN(H247,Instellingen!$B$4*I247)/Instellingen!$B$8))</f>
        <v>3.36255524531238</v>
      </c>
      <c r="L247" s="26" t="str">
        <f aca="false">IF($E247="Winter",$K247,"")</f>
        <v/>
      </c>
      <c r="M247" s="26" t="n">
        <f aca="false">IF($E247="Lente",$K247,"")</f>
        <v>3.36255524531238</v>
      </c>
      <c r="N247" s="26" t="str">
        <f aca="false">IF($E247="Zomer",$K247,"")</f>
        <v/>
      </c>
      <c r="O247" s="26" t="str">
        <f aca="false">IF($E247="Herfst",$K247,"")</f>
        <v/>
      </c>
    </row>
    <row r="248" customFormat="false" ht="15" hidden="false" customHeight="true" outlineLevel="0" collapsed="false">
      <c r="A248" s="23" t="n">
        <v>46144</v>
      </c>
      <c r="B248" s="24" t="n">
        <v>2.82</v>
      </c>
      <c r="C248" s="24" t="n">
        <v>28.16</v>
      </c>
      <c r="D248" s="24" t="n">
        <v>2.19</v>
      </c>
      <c r="E248" s="24" t="s">
        <v>23</v>
      </c>
      <c r="F248" s="24" t="n">
        <v>28.16</v>
      </c>
      <c r="G248" s="25" t="n">
        <v>15</v>
      </c>
      <c r="H248" s="24" t="n">
        <v>2.07</v>
      </c>
      <c r="I248" s="25" t="n">
        <v>9</v>
      </c>
      <c r="J248" s="24" t="n">
        <v>2.16</v>
      </c>
      <c r="K248" s="26" t="n">
        <f aca="false">MAX(0,MIN(Instellingen!$B$8*MIN(F248,Instellingen!$B$4*G248),MIN(H248,Instellingen!$B$4*I248)/Instellingen!$B$8))</f>
        <v>2.18197158551618</v>
      </c>
      <c r="L248" s="26" t="str">
        <f aca="false">IF($E248="Winter",$K248,"")</f>
        <v/>
      </c>
      <c r="M248" s="26" t="n">
        <f aca="false">IF($E248="Lente",$K248,"")</f>
        <v>2.18197158551618</v>
      </c>
      <c r="N248" s="26" t="str">
        <f aca="false">IF($E248="Zomer",$K248,"")</f>
        <v/>
      </c>
      <c r="O248" s="26" t="str">
        <f aca="false">IF($E248="Herfst",$K248,"")</f>
        <v/>
      </c>
    </row>
    <row r="249" customFormat="false" ht="15" hidden="false" customHeight="true" outlineLevel="0" collapsed="false">
      <c r="A249" s="23" t="n">
        <v>46145</v>
      </c>
      <c r="B249" s="24" t="n">
        <v>4.71</v>
      </c>
      <c r="C249" s="24" t="n">
        <v>11.28</v>
      </c>
      <c r="D249" s="24" t="n">
        <v>3.06</v>
      </c>
      <c r="E249" s="24" t="s">
        <v>23</v>
      </c>
      <c r="F249" s="24" t="n">
        <v>11.28</v>
      </c>
      <c r="G249" s="25" t="n">
        <v>15</v>
      </c>
      <c r="H249" s="24" t="n">
        <v>5.39</v>
      </c>
      <c r="I249" s="25" t="n">
        <v>12</v>
      </c>
      <c r="J249" s="24" t="n">
        <v>5.63</v>
      </c>
      <c r="K249" s="26" t="n">
        <f aca="false">MAX(0,MIN(Instellingen!$B$8*MIN(F249,Instellingen!$B$4*G249),MIN(H249,Instellingen!$B$4*I249)/Instellingen!$B$8))</f>
        <v>5.68155886276919</v>
      </c>
      <c r="L249" s="26" t="str">
        <f aca="false">IF($E249="Winter",$K249,"")</f>
        <v/>
      </c>
      <c r="M249" s="26" t="n">
        <f aca="false">IF($E249="Lente",$K249,"")</f>
        <v>5.68155886276919</v>
      </c>
      <c r="N249" s="26" t="str">
        <f aca="false">IF($E249="Zomer",$K249,"")</f>
        <v/>
      </c>
      <c r="O249" s="26" t="str">
        <f aca="false">IF($E249="Herfst",$K249,"")</f>
        <v/>
      </c>
    </row>
    <row r="250" customFormat="false" ht="15" hidden="false" customHeight="true" outlineLevel="0" collapsed="false">
      <c r="A250" s="23" t="n">
        <v>46146</v>
      </c>
      <c r="B250" s="24" t="n">
        <v>11.38</v>
      </c>
      <c r="C250" s="24" t="n">
        <v>7.38</v>
      </c>
      <c r="D250" s="24" t="n">
        <v>8.97</v>
      </c>
      <c r="E250" s="24" t="s">
        <v>23</v>
      </c>
      <c r="F250" s="24" t="n">
        <v>7.38</v>
      </c>
      <c r="G250" s="25" t="n">
        <v>9</v>
      </c>
      <c r="H250" s="24" t="n">
        <v>7.32</v>
      </c>
      <c r="I250" s="25" t="n">
        <v>15</v>
      </c>
      <c r="J250" s="24" t="n">
        <v>6.81</v>
      </c>
      <c r="K250" s="26" t="n">
        <f aca="false">MAX(0,MIN(Instellingen!$B$8*MIN(F250,Instellingen!$B$4*G250),MIN(H250,Instellingen!$B$4*I250)/Instellingen!$B$8))</f>
        <v>7.00128273961279</v>
      </c>
      <c r="L250" s="26" t="str">
        <f aca="false">IF($E250="Winter",$K250,"")</f>
        <v/>
      </c>
      <c r="M250" s="26" t="n">
        <f aca="false">IF($E250="Lente",$K250,"")</f>
        <v>7.00128273961279</v>
      </c>
      <c r="N250" s="26" t="str">
        <f aca="false">IF($E250="Zomer",$K250,"")</f>
        <v/>
      </c>
      <c r="O250" s="26" t="str">
        <f aca="false">IF($E250="Herfst",$K250,"")</f>
        <v/>
      </c>
    </row>
    <row r="251" customFormat="false" ht="15" hidden="false" customHeight="true" outlineLevel="0" collapsed="false">
      <c r="A251" s="23" t="n">
        <v>46147</v>
      </c>
      <c r="B251" s="24" t="n">
        <v>6.28</v>
      </c>
      <c r="C251" s="24" t="n">
        <v>13.08</v>
      </c>
      <c r="D251" s="24" t="n">
        <v>5.24</v>
      </c>
      <c r="E251" s="24" t="s">
        <v>23</v>
      </c>
      <c r="F251" s="24" t="n">
        <v>13.09</v>
      </c>
      <c r="G251" s="25" t="n">
        <v>9</v>
      </c>
      <c r="H251" s="24" t="n">
        <v>6.38</v>
      </c>
      <c r="I251" s="25" t="n">
        <v>14</v>
      </c>
      <c r="J251" s="24" t="n">
        <v>6.65</v>
      </c>
      <c r="K251" s="26" t="n">
        <f aca="false">MAX(0,MIN(Instellingen!$B$8*MIN(F251,Instellingen!$B$4*G251),MIN(H251,Instellingen!$B$4*I251)/Instellingen!$B$8))</f>
        <v>6.72511049062475</v>
      </c>
      <c r="L251" s="26" t="str">
        <f aca="false">IF($E251="Winter",$K251,"")</f>
        <v/>
      </c>
      <c r="M251" s="26" t="n">
        <f aca="false">IF($E251="Lente",$K251,"")</f>
        <v>6.72511049062475</v>
      </c>
      <c r="N251" s="26" t="str">
        <f aca="false">IF($E251="Zomer",$K251,"")</f>
        <v/>
      </c>
      <c r="O251" s="26" t="str">
        <f aca="false">IF($E251="Herfst",$K251,"")</f>
        <v/>
      </c>
    </row>
    <row r="252" customFormat="false" ht="15" hidden="false" customHeight="true" outlineLevel="0" collapsed="false">
      <c r="A252" s="23" t="n">
        <v>46148</v>
      </c>
      <c r="B252" s="24" t="n">
        <v>8.19</v>
      </c>
      <c r="C252" s="24" t="n">
        <v>12.04</v>
      </c>
      <c r="D252" s="24" t="n">
        <v>5.84</v>
      </c>
      <c r="E252" s="24" t="s">
        <v>23</v>
      </c>
      <c r="F252" s="24" t="n">
        <v>12.03</v>
      </c>
      <c r="G252" s="25" t="n">
        <v>12</v>
      </c>
      <c r="H252" s="24" t="n">
        <v>4.08</v>
      </c>
      <c r="I252" s="25" t="n">
        <v>10</v>
      </c>
      <c r="J252" s="24" t="n">
        <v>4.26</v>
      </c>
      <c r="K252" s="26" t="n">
        <f aca="false">MAX(0,MIN(Instellingen!$B$8*MIN(F252,Instellingen!$B$4*G252),MIN(H252,Instellingen!$B$4*I252)/Instellingen!$B$8))</f>
        <v>4.300697617829</v>
      </c>
      <c r="L252" s="26" t="str">
        <f aca="false">IF($E252="Winter",$K252,"")</f>
        <v/>
      </c>
      <c r="M252" s="26" t="n">
        <f aca="false">IF($E252="Lente",$K252,"")</f>
        <v>4.300697617829</v>
      </c>
      <c r="N252" s="26" t="str">
        <f aca="false">IF($E252="Zomer",$K252,"")</f>
        <v/>
      </c>
      <c r="O252" s="26" t="str">
        <f aca="false">IF($E252="Herfst",$K252,"")</f>
        <v/>
      </c>
    </row>
    <row r="253" customFormat="false" ht="15" hidden="false" customHeight="true" outlineLevel="0" collapsed="false">
      <c r="A253" s="23" t="n">
        <v>46149</v>
      </c>
      <c r="B253" s="24" t="n">
        <v>7.3</v>
      </c>
      <c r="C253" s="24" t="n">
        <v>20.05</v>
      </c>
      <c r="D253" s="24" t="n">
        <v>6.56</v>
      </c>
      <c r="E253" s="24" t="s">
        <v>23</v>
      </c>
      <c r="F253" s="24" t="n">
        <v>20.05</v>
      </c>
      <c r="G253" s="25" t="n">
        <v>12</v>
      </c>
      <c r="H253" s="24" t="n">
        <v>6.57</v>
      </c>
      <c r="I253" s="25" t="n">
        <v>12</v>
      </c>
      <c r="J253" s="24" t="n">
        <v>6.85</v>
      </c>
      <c r="K253" s="26" t="n">
        <f aca="false">MAX(0,MIN(Instellingen!$B$8*MIN(F253,Instellingen!$B$4*G253),MIN(H253,Instellingen!$B$4*I253)/Instellingen!$B$8))</f>
        <v>6.92538807576875</v>
      </c>
      <c r="L253" s="26" t="str">
        <f aca="false">IF($E253="Winter",$K253,"")</f>
        <v/>
      </c>
      <c r="M253" s="26" t="n">
        <f aca="false">IF($E253="Lente",$K253,"")</f>
        <v>6.92538807576875</v>
      </c>
      <c r="N253" s="26" t="str">
        <f aca="false">IF($E253="Zomer",$K253,"")</f>
        <v/>
      </c>
      <c r="O253" s="26" t="str">
        <f aca="false">IF($E253="Herfst",$K253,"")</f>
        <v/>
      </c>
    </row>
    <row r="254" customFormat="false" ht="15" hidden="false" customHeight="true" outlineLevel="0" collapsed="false">
      <c r="A254" s="23" t="n">
        <v>46150</v>
      </c>
      <c r="B254" s="24" t="n">
        <v>12.95</v>
      </c>
      <c r="C254" s="24" t="n">
        <v>15.92</v>
      </c>
      <c r="D254" s="24" t="n">
        <v>6.23</v>
      </c>
      <c r="E254" s="24" t="s">
        <v>23</v>
      </c>
      <c r="F254" s="24" t="n">
        <v>15.92</v>
      </c>
      <c r="G254" s="25" t="n">
        <v>15</v>
      </c>
      <c r="H254" s="24" t="n">
        <v>6.18</v>
      </c>
      <c r="I254" s="25" t="n">
        <v>9</v>
      </c>
      <c r="J254" s="24" t="n">
        <v>5.33</v>
      </c>
      <c r="K254" s="26" t="n">
        <f aca="false">MAX(0,MIN(Instellingen!$B$8*MIN(F254,Instellingen!$B$4*G254),MIN(H254,Instellingen!$B$4*I254)/Instellingen!$B$8))</f>
        <v>6.51429197994686</v>
      </c>
      <c r="L254" s="26" t="str">
        <f aca="false">IF($E254="Winter",$K254,"")</f>
        <v/>
      </c>
      <c r="M254" s="26" t="n">
        <f aca="false">IF($E254="Lente",$K254,"")</f>
        <v>6.51429197994686</v>
      </c>
      <c r="N254" s="26" t="str">
        <f aca="false">IF($E254="Zomer",$K254,"")</f>
        <v/>
      </c>
      <c r="O254" s="26" t="str">
        <f aca="false">IF($E254="Herfst",$K254,"")</f>
        <v/>
      </c>
    </row>
    <row r="255" customFormat="false" ht="15" hidden="false" customHeight="true" outlineLevel="0" collapsed="false">
      <c r="A255" s="23" t="n">
        <v>46151</v>
      </c>
      <c r="B255" s="24" t="n">
        <v>5.05</v>
      </c>
      <c r="C255" s="24" t="n">
        <v>23.23</v>
      </c>
      <c r="D255" s="24" t="n">
        <v>2.49</v>
      </c>
      <c r="E255" s="24" t="s">
        <v>23</v>
      </c>
      <c r="F255" s="24" t="n">
        <v>23.23</v>
      </c>
      <c r="G255" s="25" t="n">
        <v>15</v>
      </c>
      <c r="H255" s="24" t="n">
        <v>2.46</v>
      </c>
      <c r="I255" s="25" t="n">
        <v>9</v>
      </c>
      <c r="J255" s="24" t="n">
        <v>2.57</v>
      </c>
      <c r="K255" s="26" t="n">
        <f aca="false">MAX(0,MIN(Instellingen!$B$8*MIN(F255,Instellingen!$B$4*G255),MIN(H255,Instellingen!$B$4*I255)/Instellingen!$B$8))</f>
        <v>2.59306768133807</v>
      </c>
      <c r="L255" s="26" t="str">
        <f aca="false">IF($E255="Winter",$K255,"")</f>
        <v/>
      </c>
      <c r="M255" s="26" t="n">
        <f aca="false">IF($E255="Lente",$K255,"")</f>
        <v>2.59306768133807</v>
      </c>
      <c r="N255" s="26" t="str">
        <f aca="false">IF($E255="Zomer",$K255,"")</f>
        <v/>
      </c>
      <c r="O255" s="26" t="str">
        <f aca="false">IF($E255="Herfst",$K255,"")</f>
        <v/>
      </c>
    </row>
    <row r="256" customFormat="false" ht="15" hidden="false" customHeight="true" outlineLevel="0" collapsed="false">
      <c r="A256" s="23" t="n">
        <v>46152</v>
      </c>
      <c r="B256" s="24" t="n">
        <v>5.31</v>
      </c>
      <c r="C256" s="24" t="n">
        <v>32.17</v>
      </c>
      <c r="D256" s="24" t="n">
        <v>4.34</v>
      </c>
      <c r="E256" s="24" t="s">
        <v>23</v>
      </c>
      <c r="F256" s="24" t="n">
        <v>32.17</v>
      </c>
      <c r="G256" s="25" t="n">
        <v>14</v>
      </c>
      <c r="H256" s="24" t="n">
        <v>5.79</v>
      </c>
      <c r="I256" s="25" t="n">
        <v>11</v>
      </c>
      <c r="J256" s="24" t="n">
        <v>6.04</v>
      </c>
      <c r="K256" s="26" t="n">
        <f aca="false">MAX(0,MIN(Instellingen!$B$8*MIN(F256,Instellingen!$B$4*G256),MIN(H256,Instellingen!$B$4*I256)/Instellingen!$B$8))</f>
        <v>6.10319588412497</v>
      </c>
      <c r="L256" s="26" t="str">
        <f aca="false">IF($E256="Winter",$K256,"")</f>
        <v/>
      </c>
      <c r="M256" s="26" t="n">
        <f aca="false">IF($E256="Lente",$K256,"")</f>
        <v>6.10319588412497</v>
      </c>
      <c r="N256" s="26" t="str">
        <f aca="false">IF($E256="Zomer",$K256,"")</f>
        <v/>
      </c>
      <c r="O256" s="26" t="str">
        <f aca="false">IF($E256="Herfst",$K256,"")</f>
        <v/>
      </c>
    </row>
    <row r="257" customFormat="false" ht="15" hidden="false" customHeight="true" outlineLevel="0" collapsed="false">
      <c r="A257" s="23" t="n">
        <v>46153</v>
      </c>
      <c r="B257" s="24" t="n">
        <v>7.1</v>
      </c>
      <c r="C257" s="24" t="n">
        <v>18.84</v>
      </c>
      <c r="D257" s="24" t="n">
        <v>5.33</v>
      </c>
      <c r="E257" s="24" t="s">
        <v>23</v>
      </c>
      <c r="F257" s="24" t="n">
        <v>18.84</v>
      </c>
      <c r="G257" s="25" t="n">
        <v>13</v>
      </c>
      <c r="H257" s="24" t="n">
        <v>3.82</v>
      </c>
      <c r="I257" s="25" t="n">
        <v>10</v>
      </c>
      <c r="J257" s="24" t="n">
        <v>3.98</v>
      </c>
      <c r="K257" s="26" t="n">
        <f aca="false">MAX(0,MIN(Instellingen!$B$8*MIN(F257,Instellingen!$B$4*G257),MIN(H257,Instellingen!$B$4*I257)/Instellingen!$B$8))</f>
        <v>4.02663355394774</v>
      </c>
      <c r="L257" s="26" t="str">
        <f aca="false">IF($E257="Winter",$K257,"")</f>
        <v/>
      </c>
      <c r="M257" s="26" t="n">
        <f aca="false">IF($E257="Lente",$K257,"")</f>
        <v>4.02663355394774</v>
      </c>
      <c r="N257" s="26" t="str">
        <f aca="false">IF($E257="Zomer",$K257,"")</f>
        <v/>
      </c>
      <c r="O257" s="26" t="str">
        <f aca="false">IF($E257="Herfst",$K257,"")</f>
        <v/>
      </c>
    </row>
    <row r="258" customFormat="false" ht="15" hidden="false" customHeight="true" outlineLevel="0" collapsed="false">
      <c r="A258" s="23" t="n">
        <v>46154</v>
      </c>
      <c r="B258" s="24" t="n">
        <v>7.43</v>
      </c>
      <c r="C258" s="24" t="n">
        <v>13.66</v>
      </c>
      <c r="D258" s="24" t="n">
        <v>5</v>
      </c>
      <c r="E258" s="24" t="s">
        <v>23</v>
      </c>
      <c r="F258" s="24" t="n">
        <v>13.66</v>
      </c>
      <c r="G258" s="25" t="n">
        <v>14</v>
      </c>
      <c r="H258" s="24" t="n">
        <v>5.89</v>
      </c>
      <c r="I258" s="25" t="n">
        <v>10</v>
      </c>
      <c r="J258" s="24" t="n">
        <v>6.15</v>
      </c>
      <c r="K258" s="26" t="n">
        <f aca="false">MAX(0,MIN(Instellingen!$B$8*MIN(F258,Instellingen!$B$4*G258),MIN(H258,Instellingen!$B$4*I258)/Instellingen!$B$8))</f>
        <v>6.20860513946392</v>
      </c>
      <c r="L258" s="26" t="str">
        <f aca="false">IF($E258="Winter",$K258,"")</f>
        <v/>
      </c>
      <c r="M258" s="26" t="n">
        <f aca="false">IF($E258="Lente",$K258,"")</f>
        <v>6.20860513946392</v>
      </c>
      <c r="N258" s="26" t="str">
        <f aca="false">IF($E258="Zomer",$K258,"")</f>
        <v/>
      </c>
      <c r="O258" s="26" t="str">
        <f aca="false">IF($E258="Herfst",$K258,"")</f>
        <v/>
      </c>
    </row>
    <row r="259" customFormat="false" ht="15" hidden="false" customHeight="true" outlineLevel="0" collapsed="false">
      <c r="A259" s="23" t="n">
        <v>46155</v>
      </c>
      <c r="B259" s="24" t="n">
        <v>9.15</v>
      </c>
      <c r="C259" s="24" t="n">
        <v>19.3</v>
      </c>
      <c r="D259" s="24" t="n">
        <v>7.86</v>
      </c>
      <c r="E259" s="24" t="s">
        <v>23</v>
      </c>
      <c r="F259" s="24" t="n">
        <v>19.3</v>
      </c>
      <c r="G259" s="25" t="n">
        <v>14</v>
      </c>
      <c r="H259" s="24" t="n">
        <v>7.04</v>
      </c>
      <c r="I259" s="25" t="n">
        <v>10</v>
      </c>
      <c r="J259" s="24" t="n">
        <v>5.21</v>
      </c>
      <c r="K259" s="26" t="n">
        <f aca="false">MAX(0,MIN(Instellingen!$B$8*MIN(F259,Instellingen!$B$4*G259),MIN(H259,Instellingen!$B$4*I259)/Instellingen!$B$8))</f>
        <v>7.4208115758618</v>
      </c>
      <c r="L259" s="26" t="str">
        <f aca="false">IF($E259="Winter",$K259,"")</f>
        <v/>
      </c>
      <c r="M259" s="26" t="n">
        <f aca="false">IF($E259="Lente",$K259,"")</f>
        <v>7.4208115758618</v>
      </c>
      <c r="N259" s="26" t="str">
        <f aca="false">IF($E259="Zomer",$K259,"")</f>
        <v/>
      </c>
      <c r="O259" s="26" t="str">
        <f aca="false">IF($E259="Herfst",$K259,"")</f>
        <v/>
      </c>
    </row>
    <row r="260" customFormat="false" ht="15" hidden="false" customHeight="true" outlineLevel="0" collapsed="false">
      <c r="A260" s="23" t="n">
        <v>46156</v>
      </c>
      <c r="B260" s="24" t="n">
        <v>7.41</v>
      </c>
      <c r="C260" s="24" t="n">
        <v>20.06</v>
      </c>
      <c r="D260" s="24" t="n">
        <v>4.33</v>
      </c>
      <c r="E260" s="24" t="s">
        <v>23</v>
      </c>
      <c r="F260" s="24" t="n">
        <v>20.06</v>
      </c>
      <c r="G260" s="25" t="n">
        <v>15</v>
      </c>
      <c r="H260" s="24" t="n">
        <v>4.34</v>
      </c>
      <c r="I260" s="25" t="n">
        <v>9</v>
      </c>
      <c r="J260" s="24" t="n">
        <v>4.52</v>
      </c>
      <c r="K260" s="26" t="n">
        <f aca="false">MAX(0,MIN(Instellingen!$B$8*MIN(F260,Instellingen!$B$4*G260),MIN(H260,Instellingen!$B$4*I260)/Instellingen!$B$8))</f>
        <v>4.57476168171026</v>
      </c>
      <c r="L260" s="26" t="str">
        <f aca="false">IF($E260="Winter",$K260,"")</f>
        <v/>
      </c>
      <c r="M260" s="26" t="n">
        <f aca="false">IF($E260="Lente",$K260,"")</f>
        <v>4.57476168171026</v>
      </c>
      <c r="N260" s="26" t="str">
        <f aca="false">IF($E260="Zomer",$K260,"")</f>
        <v/>
      </c>
      <c r="O260" s="26" t="str">
        <f aca="false">IF($E260="Herfst",$K260,"")</f>
        <v/>
      </c>
    </row>
    <row r="261" customFormat="false" ht="15" hidden="false" customHeight="true" outlineLevel="0" collapsed="false">
      <c r="A261" s="23" t="n">
        <v>46157</v>
      </c>
      <c r="B261" s="24" t="n">
        <v>1.48</v>
      </c>
      <c r="C261" s="24" t="n">
        <v>5.49</v>
      </c>
      <c r="D261" s="24" t="n">
        <v>1.36</v>
      </c>
      <c r="E261" s="24" t="s">
        <v>23</v>
      </c>
      <c r="F261" s="24" t="n">
        <v>5.49</v>
      </c>
      <c r="G261" s="25" t="n">
        <v>5</v>
      </c>
      <c r="H261" s="24" t="n">
        <v>0</v>
      </c>
      <c r="I261" s="25" t="n">
        <v>24</v>
      </c>
      <c r="J261" s="24" t="n">
        <v>0</v>
      </c>
      <c r="K261" s="26" t="n">
        <f aca="false">MAX(0,MIN(Instellingen!$B$8*MIN(F261,Instellingen!$B$4*G261),MIN(H261,Instellingen!$B$4*I261)/Instellingen!$B$8))</f>
        <v>0</v>
      </c>
      <c r="L261" s="26" t="str">
        <f aca="false">IF($E261="Winter",$K261,"")</f>
        <v/>
      </c>
      <c r="M261" s="26" t="n">
        <f aca="false">IF($E261="Lente",$K261,"")</f>
        <v>0</v>
      </c>
      <c r="N261" s="26" t="str">
        <f aca="false">IF($E261="Zomer",$K261,"")</f>
        <v/>
      </c>
      <c r="O261" s="26" t="str">
        <f aca="false">IF($E261="Herfst",$K261,"")</f>
        <v/>
      </c>
    </row>
    <row r="262" customFormat="false" ht="15" hidden="false" customHeight="true" outlineLevel="0" collapsed="false">
      <c r="A262" s="23" t="n">
        <v>46158</v>
      </c>
      <c r="B262" s="24" t="n">
        <v>13.09</v>
      </c>
      <c r="C262" s="24" t="n">
        <v>32.14</v>
      </c>
      <c r="D262" s="24" t="n">
        <v>3.48</v>
      </c>
      <c r="E262" s="24" t="s">
        <v>23</v>
      </c>
      <c r="F262" s="24" t="n">
        <v>32.14</v>
      </c>
      <c r="G262" s="25" t="n">
        <v>9</v>
      </c>
      <c r="H262" s="24" t="n">
        <v>6.53</v>
      </c>
      <c r="I262" s="25" t="n">
        <v>12</v>
      </c>
      <c r="J262" s="24" t="n">
        <v>5.69</v>
      </c>
      <c r="K262" s="26" t="n">
        <f aca="false">MAX(0,MIN(Instellingen!$B$8*MIN(F262,Instellingen!$B$4*G262),MIN(H262,Instellingen!$B$4*I262)/Instellingen!$B$8))</f>
        <v>6.88322437363317</v>
      </c>
      <c r="L262" s="26" t="str">
        <f aca="false">IF($E262="Winter",$K262,"")</f>
        <v/>
      </c>
      <c r="M262" s="26" t="n">
        <f aca="false">IF($E262="Lente",$K262,"")</f>
        <v>6.88322437363317</v>
      </c>
      <c r="N262" s="26" t="str">
        <f aca="false">IF($E262="Zomer",$K262,"")</f>
        <v/>
      </c>
      <c r="O262" s="26" t="str">
        <f aca="false">IF($E262="Herfst",$K262,"")</f>
        <v/>
      </c>
    </row>
    <row r="263" customFormat="false" ht="15" hidden="false" customHeight="true" outlineLevel="0" collapsed="false">
      <c r="A263" s="23" t="n">
        <v>46159</v>
      </c>
      <c r="B263" s="24" t="n">
        <v>8.46</v>
      </c>
      <c r="C263" s="24" t="n">
        <v>4.63</v>
      </c>
      <c r="D263" s="24" t="n">
        <v>6.84</v>
      </c>
      <c r="E263" s="24" t="s">
        <v>23</v>
      </c>
      <c r="F263" s="24" t="n">
        <v>4.63</v>
      </c>
      <c r="G263" s="25" t="n">
        <v>10</v>
      </c>
      <c r="H263" s="24" t="n">
        <v>5.78</v>
      </c>
      <c r="I263" s="25" t="n">
        <v>13</v>
      </c>
      <c r="J263" s="24" t="n">
        <v>4.32</v>
      </c>
      <c r="K263" s="26" t="n">
        <f aca="false">MAX(0,MIN(Instellingen!$B$8*MIN(F263,Instellingen!$B$4*G263),MIN(H263,Instellingen!$B$4*I263)/Instellingen!$B$8))</f>
        <v>4.39240366997388</v>
      </c>
      <c r="L263" s="26" t="str">
        <f aca="false">IF($E263="Winter",$K263,"")</f>
        <v/>
      </c>
      <c r="M263" s="26" t="n">
        <f aca="false">IF($E263="Lente",$K263,"")</f>
        <v>4.39240366997388</v>
      </c>
      <c r="N263" s="26" t="str">
        <f aca="false">IF($E263="Zomer",$K263,"")</f>
        <v/>
      </c>
      <c r="O263" s="26" t="str">
        <f aca="false">IF($E263="Herfst",$K263,"")</f>
        <v/>
      </c>
    </row>
    <row r="264" customFormat="false" ht="15" hidden="false" customHeight="true" outlineLevel="0" collapsed="false">
      <c r="A264" s="23" t="n">
        <v>46160</v>
      </c>
      <c r="B264" s="24" t="n">
        <v>6.83</v>
      </c>
      <c r="C264" s="24" t="n">
        <v>21.1</v>
      </c>
      <c r="D264" s="24" t="n">
        <v>5.25</v>
      </c>
      <c r="E264" s="24" t="s">
        <v>23</v>
      </c>
      <c r="F264" s="24" t="n">
        <v>21.1</v>
      </c>
      <c r="G264" s="25" t="n">
        <v>13</v>
      </c>
      <c r="H264" s="24" t="n">
        <v>5.45</v>
      </c>
      <c r="I264" s="25" t="n">
        <v>10</v>
      </c>
      <c r="J264" s="24" t="n">
        <v>5.68</v>
      </c>
      <c r="K264" s="26" t="n">
        <f aca="false">MAX(0,MIN(Instellingen!$B$8*MIN(F264,Instellingen!$B$4*G264),MIN(H264,Instellingen!$B$4*I264)/Instellingen!$B$8))</f>
        <v>5.74480441597256</v>
      </c>
      <c r="L264" s="26" t="str">
        <f aca="false">IF($E264="Winter",$K264,"")</f>
        <v/>
      </c>
      <c r="M264" s="26" t="n">
        <f aca="false">IF($E264="Lente",$K264,"")</f>
        <v>5.74480441597256</v>
      </c>
      <c r="N264" s="26" t="str">
        <f aca="false">IF($E264="Zomer",$K264,"")</f>
        <v/>
      </c>
      <c r="O264" s="26" t="str">
        <f aca="false">IF($E264="Herfst",$K264,"")</f>
        <v/>
      </c>
    </row>
    <row r="265" customFormat="false" ht="15" hidden="false" customHeight="true" outlineLevel="0" collapsed="false">
      <c r="A265" s="23" t="n">
        <v>46161</v>
      </c>
      <c r="B265" s="24" t="n">
        <v>10.02</v>
      </c>
      <c r="C265" s="24" t="n">
        <v>16.45</v>
      </c>
      <c r="D265" s="24" t="n">
        <v>2.94</v>
      </c>
      <c r="E265" s="24" t="s">
        <v>23</v>
      </c>
      <c r="F265" s="24" t="n">
        <v>16.45</v>
      </c>
      <c r="G265" s="25" t="n">
        <v>6</v>
      </c>
      <c r="H265" s="24" t="n">
        <v>2.65</v>
      </c>
      <c r="I265" s="25" t="n">
        <v>18</v>
      </c>
      <c r="J265" s="24" t="n">
        <v>2.77</v>
      </c>
      <c r="K265" s="26" t="n">
        <f aca="false">MAX(0,MIN(Instellingen!$B$8*MIN(F265,Instellingen!$B$4*G265),MIN(H265,Instellingen!$B$4*I265)/Instellingen!$B$8))</f>
        <v>2.79334526648207</v>
      </c>
      <c r="L265" s="26" t="str">
        <f aca="false">IF($E265="Winter",$K265,"")</f>
        <v/>
      </c>
      <c r="M265" s="26" t="n">
        <f aca="false">IF($E265="Lente",$K265,"")</f>
        <v>2.79334526648207</v>
      </c>
      <c r="N265" s="26" t="str">
        <f aca="false">IF($E265="Zomer",$K265,"")</f>
        <v/>
      </c>
      <c r="O265" s="26" t="str">
        <f aca="false">IF($E265="Herfst",$K265,"")</f>
        <v/>
      </c>
    </row>
    <row r="266" customFormat="false" ht="15" hidden="false" customHeight="true" outlineLevel="0" collapsed="false">
      <c r="A266" s="23" t="n">
        <v>46162</v>
      </c>
      <c r="B266" s="24" t="n">
        <v>7.95</v>
      </c>
      <c r="C266" s="24" t="n">
        <v>12.94</v>
      </c>
      <c r="D266" s="24" t="n">
        <v>5.49</v>
      </c>
      <c r="E266" s="24" t="s">
        <v>23</v>
      </c>
      <c r="F266" s="24" t="n">
        <v>12.94</v>
      </c>
      <c r="G266" s="25" t="n">
        <v>14</v>
      </c>
      <c r="H266" s="24" t="n">
        <v>6.67</v>
      </c>
      <c r="I266" s="25" t="n">
        <v>10</v>
      </c>
      <c r="J266" s="24" t="n">
        <v>6.96</v>
      </c>
      <c r="K266" s="26" t="n">
        <f aca="false">MAX(0,MIN(Instellingen!$B$8*MIN(F266,Instellingen!$B$4*G266),MIN(H266,Instellingen!$B$4*I266)/Instellingen!$B$8))</f>
        <v>7.0307973311077</v>
      </c>
      <c r="L266" s="26" t="str">
        <f aca="false">IF($E266="Winter",$K266,"")</f>
        <v/>
      </c>
      <c r="M266" s="26" t="n">
        <f aca="false">IF($E266="Lente",$K266,"")</f>
        <v>7.0307973311077</v>
      </c>
      <c r="N266" s="26" t="str">
        <f aca="false">IF($E266="Zomer",$K266,"")</f>
        <v/>
      </c>
      <c r="O266" s="26" t="str">
        <f aca="false">IF($E266="Herfst",$K266,"")</f>
        <v/>
      </c>
    </row>
    <row r="267" customFormat="false" ht="15" hidden="false" customHeight="true" outlineLevel="0" collapsed="false">
      <c r="A267" s="23" t="n">
        <v>46163</v>
      </c>
      <c r="B267" s="24" t="n">
        <v>4.82</v>
      </c>
      <c r="C267" s="24" t="n">
        <v>21.95</v>
      </c>
      <c r="D267" s="24" t="n">
        <v>4.13</v>
      </c>
      <c r="E267" s="24" t="s">
        <v>23</v>
      </c>
      <c r="F267" s="24" t="n">
        <v>21.95</v>
      </c>
      <c r="G267" s="25" t="n">
        <v>15</v>
      </c>
      <c r="H267" s="24" t="n">
        <v>2.63</v>
      </c>
      <c r="I267" s="25" t="n">
        <v>9</v>
      </c>
      <c r="J267" s="24" t="n">
        <v>2.74</v>
      </c>
      <c r="K267" s="26" t="n">
        <f aca="false">MAX(0,MIN(Instellingen!$B$8*MIN(F267,Instellingen!$B$4*G267),MIN(H267,Instellingen!$B$4*I267)/Instellingen!$B$8))</f>
        <v>2.77226341541428</v>
      </c>
      <c r="L267" s="26" t="str">
        <f aca="false">IF($E267="Winter",$K267,"")</f>
        <v/>
      </c>
      <c r="M267" s="26" t="n">
        <f aca="false">IF($E267="Lente",$K267,"")</f>
        <v>2.77226341541428</v>
      </c>
      <c r="N267" s="26" t="str">
        <f aca="false">IF($E267="Zomer",$K267,"")</f>
        <v/>
      </c>
      <c r="O267" s="26" t="str">
        <f aca="false">IF($E267="Herfst",$K267,"")</f>
        <v/>
      </c>
    </row>
    <row r="268" customFormat="false" ht="15" hidden="false" customHeight="true" outlineLevel="0" collapsed="false">
      <c r="A268" s="23" t="n">
        <v>46164</v>
      </c>
      <c r="B268" s="24" t="n">
        <v>3</v>
      </c>
      <c r="C268" s="24" t="n">
        <v>37.64</v>
      </c>
      <c r="D268" s="24" t="n">
        <v>2.4</v>
      </c>
      <c r="E268" s="24" t="s">
        <v>23</v>
      </c>
      <c r="F268" s="24" t="n">
        <v>37.64</v>
      </c>
      <c r="G268" s="25" t="n">
        <v>15</v>
      </c>
      <c r="H268" s="24" t="n">
        <v>2.59</v>
      </c>
      <c r="I268" s="25" t="n">
        <v>9</v>
      </c>
      <c r="J268" s="24" t="n">
        <v>2.71</v>
      </c>
      <c r="K268" s="26" t="n">
        <f aca="false">MAX(0,MIN(Instellingen!$B$8*MIN(F268,Instellingen!$B$4*G268),MIN(H268,Instellingen!$B$4*I268)/Instellingen!$B$8))</f>
        <v>2.7300997132787</v>
      </c>
      <c r="L268" s="26" t="str">
        <f aca="false">IF($E268="Winter",$K268,"")</f>
        <v/>
      </c>
      <c r="M268" s="26" t="n">
        <f aca="false">IF($E268="Lente",$K268,"")</f>
        <v>2.7300997132787</v>
      </c>
      <c r="N268" s="26" t="str">
        <f aca="false">IF($E268="Zomer",$K268,"")</f>
        <v/>
      </c>
      <c r="O268" s="26" t="str">
        <f aca="false">IF($E268="Herfst",$K268,"")</f>
        <v/>
      </c>
    </row>
    <row r="269" customFormat="false" ht="15" hidden="false" customHeight="true" outlineLevel="0" collapsed="false">
      <c r="A269" s="23" t="n">
        <v>46165</v>
      </c>
      <c r="B269" s="24" t="n">
        <v>2.74</v>
      </c>
      <c r="C269" s="24" t="n">
        <v>37.57</v>
      </c>
      <c r="D269" s="24" t="n">
        <v>2.7</v>
      </c>
      <c r="E269" s="24" t="s">
        <v>23</v>
      </c>
      <c r="F269" s="24" t="n">
        <v>37.57</v>
      </c>
      <c r="G269" s="25" t="n">
        <v>15</v>
      </c>
      <c r="H269" s="24" t="n">
        <v>2.66</v>
      </c>
      <c r="I269" s="25" t="n">
        <v>9</v>
      </c>
      <c r="J269" s="24" t="n">
        <v>2.78</v>
      </c>
      <c r="K269" s="26" t="n">
        <f aca="false">MAX(0,MIN(Instellingen!$B$8*MIN(F269,Instellingen!$B$4*G269),MIN(H269,Instellingen!$B$4*I269)/Instellingen!$B$8))</f>
        <v>2.80388619201596</v>
      </c>
      <c r="L269" s="26" t="str">
        <f aca="false">IF($E269="Winter",$K269,"")</f>
        <v/>
      </c>
      <c r="M269" s="26" t="n">
        <f aca="false">IF($E269="Lente",$K269,"")</f>
        <v>2.80388619201596</v>
      </c>
      <c r="N269" s="26" t="str">
        <f aca="false">IF($E269="Zomer",$K269,"")</f>
        <v/>
      </c>
      <c r="O269" s="26" t="str">
        <f aca="false">IF($E269="Herfst",$K269,"")</f>
        <v/>
      </c>
    </row>
    <row r="270" customFormat="false" ht="15" hidden="false" customHeight="true" outlineLevel="0" collapsed="false">
      <c r="A270" s="23" t="n">
        <v>46166</v>
      </c>
      <c r="B270" s="24" t="n">
        <v>3.39</v>
      </c>
      <c r="C270" s="24" t="n">
        <v>41.67</v>
      </c>
      <c r="D270" s="24" t="n">
        <v>3</v>
      </c>
      <c r="E270" s="24" t="s">
        <v>23</v>
      </c>
      <c r="F270" s="24" t="n">
        <v>41.67</v>
      </c>
      <c r="G270" s="25" t="n">
        <v>15</v>
      </c>
      <c r="H270" s="24" t="n">
        <v>3.65</v>
      </c>
      <c r="I270" s="25" t="n">
        <v>9</v>
      </c>
      <c r="J270" s="24" t="n">
        <v>3.8</v>
      </c>
      <c r="K270" s="26" t="n">
        <f aca="false">MAX(0,MIN(Instellingen!$B$8*MIN(F270,Instellingen!$B$4*G270),MIN(H270,Instellingen!$B$4*I270)/Instellingen!$B$8))</f>
        <v>3.84743781987153</v>
      </c>
      <c r="L270" s="26" t="str">
        <f aca="false">IF($E270="Winter",$K270,"")</f>
        <v/>
      </c>
      <c r="M270" s="26" t="n">
        <f aca="false">IF($E270="Lente",$K270,"")</f>
        <v>3.84743781987153</v>
      </c>
      <c r="N270" s="26" t="str">
        <f aca="false">IF($E270="Zomer",$K270,"")</f>
        <v/>
      </c>
      <c r="O270" s="26" t="str">
        <f aca="false">IF($E270="Herfst",$K270,"")</f>
        <v/>
      </c>
    </row>
    <row r="271" customFormat="false" ht="15" hidden="false" customHeight="true" outlineLevel="0" collapsed="false">
      <c r="A271" s="23" t="n">
        <v>46167</v>
      </c>
      <c r="B271" s="24" t="n">
        <v>5.12</v>
      </c>
      <c r="C271" s="24" t="n">
        <v>33.86</v>
      </c>
      <c r="D271" s="24" t="n">
        <v>4.81</v>
      </c>
      <c r="E271" s="24" t="s">
        <v>23</v>
      </c>
      <c r="F271" s="24" t="n">
        <v>33.86</v>
      </c>
      <c r="G271" s="25" t="n">
        <v>15</v>
      </c>
      <c r="H271" s="24" t="n">
        <v>4.2</v>
      </c>
      <c r="I271" s="25" t="n">
        <v>9</v>
      </c>
      <c r="J271" s="24" t="n">
        <v>4.38</v>
      </c>
      <c r="K271" s="26" t="n">
        <f aca="false">MAX(0,MIN(Instellingen!$B$8*MIN(F271,Instellingen!$B$4*G271),MIN(H271,Instellingen!$B$4*I271)/Instellingen!$B$8))</f>
        <v>4.42718872423573</v>
      </c>
      <c r="L271" s="26" t="str">
        <f aca="false">IF($E271="Winter",$K271,"")</f>
        <v/>
      </c>
      <c r="M271" s="26" t="n">
        <f aca="false">IF($E271="Lente",$K271,"")</f>
        <v>4.42718872423573</v>
      </c>
      <c r="N271" s="26" t="str">
        <f aca="false">IF($E271="Zomer",$K271,"")</f>
        <v/>
      </c>
      <c r="O271" s="26" t="str">
        <f aca="false">IF($E271="Herfst",$K271,"")</f>
        <v/>
      </c>
    </row>
    <row r="272" customFormat="false" ht="15" hidden="false" customHeight="true" outlineLevel="0" collapsed="false">
      <c r="A272" s="23" t="n">
        <v>46168</v>
      </c>
      <c r="B272" s="24" t="n">
        <v>7.37</v>
      </c>
      <c r="C272" s="24" t="n">
        <v>32.53</v>
      </c>
      <c r="D272" s="24" t="n">
        <v>6.61</v>
      </c>
      <c r="E272" s="24" t="s">
        <v>23</v>
      </c>
      <c r="F272" s="24" t="n">
        <v>32.53</v>
      </c>
      <c r="G272" s="25" t="n">
        <v>15</v>
      </c>
      <c r="H272" s="24" t="n">
        <v>6.59</v>
      </c>
      <c r="I272" s="25" t="n">
        <v>9</v>
      </c>
      <c r="J272" s="24" t="n">
        <v>6.88</v>
      </c>
      <c r="K272" s="26" t="n">
        <f aca="false">MAX(0,MIN(Instellingen!$B$8*MIN(F272,Instellingen!$B$4*G272),MIN(H272,Instellingen!$B$4*I272)/Instellingen!$B$8))</f>
        <v>6.94646992683654</v>
      </c>
      <c r="L272" s="26" t="str">
        <f aca="false">IF($E272="Winter",$K272,"")</f>
        <v/>
      </c>
      <c r="M272" s="26" t="n">
        <f aca="false">IF($E272="Lente",$K272,"")</f>
        <v>6.94646992683654</v>
      </c>
      <c r="N272" s="26" t="str">
        <f aca="false">IF($E272="Zomer",$K272,"")</f>
        <v/>
      </c>
      <c r="O272" s="26" t="str">
        <f aca="false">IF($E272="Herfst",$K272,"")</f>
        <v/>
      </c>
    </row>
    <row r="273" customFormat="false" ht="15" hidden="false" customHeight="true" outlineLevel="0" collapsed="false">
      <c r="A273" s="23" t="n">
        <v>46169</v>
      </c>
      <c r="B273" s="24" t="n">
        <v>5.22</v>
      </c>
      <c r="C273" s="24" t="n">
        <v>23.17</v>
      </c>
      <c r="D273" s="24" t="n">
        <v>3.49</v>
      </c>
      <c r="E273" s="24" t="s">
        <v>23</v>
      </c>
      <c r="F273" s="24" t="n">
        <v>23.17</v>
      </c>
      <c r="G273" s="25" t="n">
        <v>15</v>
      </c>
      <c r="H273" s="24" t="n">
        <v>3.37</v>
      </c>
      <c r="I273" s="25" t="n">
        <v>9</v>
      </c>
      <c r="J273" s="24" t="n">
        <v>3.52</v>
      </c>
      <c r="K273" s="26" t="n">
        <f aca="false">MAX(0,MIN(Instellingen!$B$8*MIN(F273,Instellingen!$B$4*G273),MIN(H273,Instellingen!$B$4*I273)/Instellingen!$B$8))</f>
        <v>3.55229190492248</v>
      </c>
      <c r="L273" s="26" t="str">
        <f aca="false">IF($E273="Winter",$K273,"")</f>
        <v/>
      </c>
      <c r="M273" s="26" t="n">
        <f aca="false">IF($E273="Lente",$K273,"")</f>
        <v>3.55229190492248</v>
      </c>
      <c r="N273" s="26" t="str">
        <f aca="false">IF($E273="Zomer",$K273,"")</f>
        <v/>
      </c>
      <c r="O273" s="26" t="str">
        <f aca="false">IF($E273="Herfst",$K273,"")</f>
        <v/>
      </c>
    </row>
    <row r="274" customFormat="false" ht="15" hidden="false" customHeight="true" outlineLevel="0" collapsed="false">
      <c r="A274" s="23" t="n">
        <v>46170</v>
      </c>
      <c r="B274" s="24" t="n">
        <v>4.24</v>
      </c>
      <c r="C274" s="24" t="n">
        <v>37.74</v>
      </c>
      <c r="D274" s="24" t="n">
        <v>4.08</v>
      </c>
      <c r="E274" s="24" t="s">
        <v>23</v>
      </c>
      <c r="F274" s="24" t="n">
        <v>37.75</v>
      </c>
      <c r="G274" s="25" t="n">
        <v>15</v>
      </c>
      <c r="H274" s="24" t="n">
        <v>4.38</v>
      </c>
      <c r="I274" s="25" t="n">
        <v>10</v>
      </c>
      <c r="J274" s="24" t="n">
        <v>4.57</v>
      </c>
      <c r="K274" s="26" t="n">
        <f aca="false">MAX(0,MIN(Instellingen!$B$8*MIN(F274,Instellingen!$B$4*G274),MIN(H274,Instellingen!$B$4*I274)/Instellingen!$B$8))</f>
        <v>4.61692538384583</v>
      </c>
      <c r="L274" s="26" t="str">
        <f aca="false">IF($E274="Winter",$K274,"")</f>
        <v/>
      </c>
      <c r="M274" s="26" t="n">
        <f aca="false">IF($E274="Lente",$K274,"")</f>
        <v>4.61692538384583</v>
      </c>
      <c r="N274" s="26" t="str">
        <f aca="false">IF($E274="Zomer",$K274,"")</f>
        <v/>
      </c>
      <c r="O274" s="26" t="str">
        <f aca="false">IF($E274="Herfst",$K274,"")</f>
        <v/>
      </c>
    </row>
    <row r="275" customFormat="false" ht="15" hidden="false" customHeight="true" outlineLevel="0" collapsed="false">
      <c r="A275" s="23" t="n">
        <v>46171</v>
      </c>
      <c r="B275" s="24" t="n">
        <v>3.75</v>
      </c>
      <c r="C275" s="24" t="n">
        <v>22.34</v>
      </c>
      <c r="D275" s="24" t="n">
        <v>3.24</v>
      </c>
      <c r="E275" s="24" t="s">
        <v>23</v>
      </c>
      <c r="F275" s="24" t="n">
        <v>22.33</v>
      </c>
      <c r="G275" s="25" t="n">
        <v>13</v>
      </c>
      <c r="H275" s="24" t="n">
        <v>3.69</v>
      </c>
      <c r="I275" s="25" t="n">
        <v>10</v>
      </c>
      <c r="J275" s="24" t="n">
        <v>3.85</v>
      </c>
      <c r="K275" s="26" t="n">
        <f aca="false">MAX(0,MIN(Instellingen!$B$8*MIN(F275,Instellingen!$B$4*G275),MIN(H275,Instellingen!$B$4*I275)/Instellingen!$B$8))</f>
        <v>3.88960152200711</v>
      </c>
      <c r="L275" s="26" t="str">
        <f aca="false">IF($E275="Winter",$K275,"")</f>
        <v/>
      </c>
      <c r="M275" s="26" t="n">
        <f aca="false">IF($E275="Lente",$K275,"")</f>
        <v>3.88960152200711</v>
      </c>
      <c r="N275" s="26" t="str">
        <f aca="false">IF($E275="Zomer",$K275,"")</f>
        <v/>
      </c>
      <c r="O275" s="26" t="str">
        <f aca="false">IF($E275="Herfst",$K275,"")</f>
        <v/>
      </c>
    </row>
    <row r="276" customFormat="false" ht="15" hidden="false" customHeight="true" outlineLevel="0" collapsed="false">
      <c r="A276" s="23" t="n">
        <v>46172</v>
      </c>
      <c r="B276" s="24" t="n">
        <v>3.7</v>
      </c>
      <c r="C276" s="24" t="n">
        <v>35.63</v>
      </c>
      <c r="D276" s="24" t="n">
        <v>3.64</v>
      </c>
      <c r="E276" s="24" t="s">
        <v>23</v>
      </c>
      <c r="F276" s="24" t="n">
        <v>35.63</v>
      </c>
      <c r="G276" s="25" t="n">
        <v>15</v>
      </c>
      <c r="H276" s="24" t="n">
        <v>4.27</v>
      </c>
      <c r="I276" s="25" t="n">
        <v>10</v>
      </c>
      <c r="J276" s="24" t="n">
        <v>4.46</v>
      </c>
      <c r="K276" s="26" t="n">
        <f aca="false">MAX(0,MIN(Instellingen!$B$8*MIN(F276,Instellingen!$B$4*G276),MIN(H276,Instellingen!$B$4*I276)/Instellingen!$B$8))</f>
        <v>4.50097520297299</v>
      </c>
      <c r="L276" s="26" t="str">
        <f aca="false">IF($E276="Winter",$K276,"")</f>
        <v/>
      </c>
      <c r="M276" s="26" t="n">
        <f aca="false">IF($E276="Lente",$K276,"")</f>
        <v>4.50097520297299</v>
      </c>
      <c r="N276" s="26" t="str">
        <f aca="false">IF($E276="Zomer",$K276,"")</f>
        <v/>
      </c>
      <c r="O276" s="26" t="str">
        <f aca="false">IF($E276="Herfst",$K276,"")</f>
        <v/>
      </c>
    </row>
    <row r="277" customFormat="false" ht="15" hidden="false" customHeight="true" outlineLevel="0" collapsed="false">
      <c r="A277" s="23" t="n">
        <v>46173</v>
      </c>
      <c r="B277" s="24" t="n">
        <v>6.05</v>
      </c>
      <c r="C277" s="24" t="n">
        <v>27.87</v>
      </c>
      <c r="D277" s="24" t="n">
        <v>4.92</v>
      </c>
      <c r="E277" s="24" t="s">
        <v>23</v>
      </c>
      <c r="F277" s="24" t="n">
        <v>27.87</v>
      </c>
      <c r="G277" s="25" t="n">
        <v>14</v>
      </c>
      <c r="H277" s="24" t="n">
        <v>3.46</v>
      </c>
      <c r="I277" s="25" t="n">
        <v>9</v>
      </c>
      <c r="J277" s="24" t="n">
        <v>3.62</v>
      </c>
      <c r="K277" s="26" t="n">
        <f aca="false">MAX(0,MIN(Instellingen!$B$8*MIN(F277,Instellingen!$B$4*G277),MIN(H277,Instellingen!$B$4*I277)/Instellingen!$B$8))</f>
        <v>3.64716023472753</v>
      </c>
      <c r="L277" s="26" t="str">
        <f aca="false">IF($E277="Winter",$K277,"")</f>
        <v/>
      </c>
      <c r="M277" s="26" t="n">
        <f aca="false">IF($E277="Lente",$K277,"")</f>
        <v>3.64716023472753</v>
      </c>
      <c r="N277" s="26" t="str">
        <f aca="false">IF($E277="Zomer",$K277,"")</f>
        <v/>
      </c>
      <c r="O277" s="26" t="str">
        <f aca="false">IF($E277="Herfst",$K277,"")</f>
        <v/>
      </c>
    </row>
    <row r="278" customFormat="false" ht="15" hidden="false" customHeight="true" outlineLevel="0" collapsed="false">
      <c r="A278" s="23" t="n">
        <v>46174</v>
      </c>
      <c r="B278" s="24" t="n">
        <v>4.51</v>
      </c>
      <c r="C278" s="24" t="n">
        <v>21.48</v>
      </c>
      <c r="D278" s="24" t="n">
        <v>4.08</v>
      </c>
      <c r="E278" s="24" t="s">
        <v>24</v>
      </c>
      <c r="F278" s="24" t="n">
        <v>21.48</v>
      </c>
      <c r="G278" s="25" t="n">
        <v>15</v>
      </c>
      <c r="H278" s="24" t="n">
        <v>4.11</v>
      </c>
      <c r="I278" s="25" t="n">
        <v>9</v>
      </c>
      <c r="J278" s="24" t="n">
        <v>4.29</v>
      </c>
      <c r="K278" s="26" t="n">
        <f aca="false">MAX(0,MIN(Instellingen!$B$8*MIN(F278,Instellingen!$B$4*G278),MIN(H278,Instellingen!$B$4*I278)/Instellingen!$B$8))</f>
        <v>4.33232039443068</v>
      </c>
      <c r="L278" s="26" t="str">
        <f aca="false">IF($E278="Winter",$K278,"")</f>
        <v/>
      </c>
      <c r="M278" s="26" t="str">
        <f aca="false">IF($E278="Lente",$K278,"")</f>
        <v/>
      </c>
      <c r="N278" s="26" t="n">
        <f aca="false">IF($E278="Zomer",$K278,"")</f>
        <v>4.33232039443068</v>
      </c>
      <c r="O278" s="26" t="str">
        <f aca="false">IF($E278="Herfst",$K278,"")</f>
        <v/>
      </c>
    </row>
    <row r="279" customFormat="false" ht="15" hidden="false" customHeight="true" outlineLevel="0" collapsed="false">
      <c r="A279" s="23" t="n">
        <v>46175</v>
      </c>
      <c r="B279" s="24" t="n">
        <v>6.1</v>
      </c>
      <c r="C279" s="24" t="n">
        <v>9.53</v>
      </c>
      <c r="D279" s="24" t="n">
        <v>4.5</v>
      </c>
      <c r="E279" s="24" t="s">
        <v>24</v>
      </c>
      <c r="F279" s="24" t="n">
        <v>9.53</v>
      </c>
      <c r="G279" s="25" t="n">
        <v>13</v>
      </c>
      <c r="H279" s="24" t="n">
        <v>5.27</v>
      </c>
      <c r="I279" s="25" t="n">
        <v>11</v>
      </c>
      <c r="J279" s="24" t="n">
        <v>5.28</v>
      </c>
      <c r="K279" s="26" t="n">
        <f aca="false">MAX(0,MIN(Instellingen!$B$8*MIN(F279,Instellingen!$B$4*G279),MIN(H279,Instellingen!$B$4*I279)/Instellingen!$B$8))</f>
        <v>5.55506775636245</v>
      </c>
      <c r="L279" s="26" t="str">
        <f aca="false">IF($E279="Winter",$K279,"")</f>
        <v/>
      </c>
      <c r="M279" s="26" t="str">
        <f aca="false">IF($E279="Lente",$K279,"")</f>
        <v/>
      </c>
      <c r="N279" s="26" t="n">
        <f aca="false">IF($E279="Zomer",$K279,"")</f>
        <v>5.55506775636245</v>
      </c>
      <c r="O279" s="26" t="str">
        <f aca="false">IF($E279="Herfst",$K279,"")</f>
        <v/>
      </c>
    </row>
    <row r="280" customFormat="false" ht="15" hidden="false" customHeight="true" outlineLevel="0" collapsed="false">
      <c r="A280" s="23" t="n">
        <v>46176</v>
      </c>
      <c r="B280" s="24" t="n">
        <v>11.48</v>
      </c>
      <c r="C280" s="24" t="n">
        <v>16</v>
      </c>
      <c r="D280" s="24" t="n">
        <v>7.49</v>
      </c>
      <c r="E280" s="24" t="s">
        <v>24</v>
      </c>
      <c r="F280" s="24" t="n">
        <v>16.01</v>
      </c>
      <c r="G280" s="25" t="n">
        <v>12</v>
      </c>
      <c r="H280" s="24" t="n">
        <v>6.84</v>
      </c>
      <c r="I280" s="25" t="n">
        <v>13</v>
      </c>
      <c r="J280" s="24" t="n">
        <v>7.13</v>
      </c>
      <c r="K280" s="26" t="n">
        <f aca="false">MAX(0,MIN(Instellingen!$B$8*MIN(F280,Instellingen!$B$4*G280),MIN(H280,Instellingen!$B$4*I280)/Instellingen!$B$8))</f>
        <v>7.20999306518391</v>
      </c>
      <c r="L280" s="26" t="str">
        <f aca="false">IF($E280="Winter",$K280,"")</f>
        <v/>
      </c>
      <c r="M280" s="26" t="str">
        <f aca="false">IF($E280="Lente",$K280,"")</f>
        <v/>
      </c>
      <c r="N280" s="26" t="n">
        <f aca="false">IF($E280="Zomer",$K280,"")</f>
        <v>7.20999306518391</v>
      </c>
      <c r="O280" s="26" t="str">
        <f aca="false">IF($E280="Herfst",$K280,"")</f>
        <v/>
      </c>
    </row>
    <row r="281" customFormat="false" ht="15" hidden="false" customHeight="true" outlineLevel="0" collapsed="false">
      <c r="A281" s="23" t="n">
        <v>46177</v>
      </c>
      <c r="B281" s="24" t="n">
        <v>5.89</v>
      </c>
      <c r="C281" s="24" t="n">
        <v>21.69</v>
      </c>
      <c r="D281" s="24" t="n">
        <v>4.68</v>
      </c>
      <c r="E281" s="24" t="s">
        <v>24</v>
      </c>
      <c r="F281" s="24" t="n">
        <v>21.69</v>
      </c>
      <c r="G281" s="25" t="n">
        <v>7</v>
      </c>
      <c r="H281" s="24" t="n">
        <v>8.06</v>
      </c>
      <c r="I281" s="25" t="n">
        <v>18</v>
      </c>
      <c r="J281" s="24" t="n">
        <v>7.81</v>
      </c>
      <c r="K281" s="26" t="n">
        <f aca="false">MAX(0,MIN(Instellingen!$B$8*MIN(F281,Instellingen!$B$4*G281),MIN(H281,Instellingen!$B$4*I281)/Instellingen!$B$8))</f>
        <v>8.49598598031905</v>
      </c>
      <c r="L281" s="26" t="str">
        <f aca="false">IF($E281="Winter",$K281,"")</f>
        <v/>
      </c>
      <c r="M281" s="26" t="str">
        <f aca="false">IF($E281="Lente",$K281,"")</f>
        <v/>
      </c>
      <c r="N281" s="26" t="n">
        <f aca="false">IF($E281="Zomer",$K281,"")</f>
        <v>8.49598598031905</v>
      </c>
      <c r="O281" s="26" t="str">
        <f aca="false">IF($E281="Herfst",$K281,"")</f>
        <v/>
      </c>
    </row>
    <row r="282" customFormat="false" ht="15" hidden="false" customHeight="true" outlineLevel="0" collapsed="false">
      <c r="A282" s="23" t="n">
        <v>46178</v>
      </c>
      <c r="B282" s="24" t="n">
        <v>9.51</v>
      </c>
      <c r="C282" s="24" t="n">
        <v>20.07</v>
      </c>
      <c r="D282" s="24" t="n">
        <v>7.69</v>
      </c>
      <c r="E282" s="24" t="s">
        <v>24</v>
      </c>
      <c r="F282" s="24" t="n">
        <v>20.07</v>
      </c>
      <c r="G282" s="25" t="n">
        <v>11</v>
      </c>
      <c r="H282" s="24" t="n">
        <v>5.55</v>
      </c>
      <c r="I282" s="25" t="n">
        <v>12</v>
      </c>
      <c r="J282" s="24" t="n">
        <v>5.64</v>
      </c>
      <c r="K282" s="26" t="n">
        <f aca="false">MAX(0,MIN(Instellingen!$B$8*MIN(F282,Instellingen!$B$4*G282),MIN(H282,Instellingen!$B$4*I282)/Instellingen!$B$8))</f>
        <v>5.8502136713115</v>
      </c>
      <c r="L282" s="26" t="str">
        <f aca="false">IF($E282="Winter",$K282,"")</f>
        <v/>
      </c>
      <c r="M282" s="26" t="str">
        <f aca="false">IF($E282="Lente",$K282,"")</f>
        <v/>
      </c>
      <c r="N282" s="26" t="n">
        <f aca="false">IF($E282="Zomer",$K282,"")</f>
        <v>5.8502136713115</v>
      </c>
      <c r="O282" s="26" t="str">
        <f aca="false">IF($E282="Herfst",$K282,"")</f>
        <v/>
      </c>
    </row>
    <row r="283" customFormat="false" ht="15" hidden="false" customHeight="true" outlineLevel="0" collapsed="false">
      <c r="A283" s="23" t="n">
        <v>46179</v>
      </c>
      <c r="B283" s="24" t="n">
        <v>10.32</v>
      </c>
      <c r="C283" s="24" t="n">
        <v>16.72</v>
      </c>
      <c r="D283" s="24" t="n">
        <v>9.6</v>
      </c>
      <c r="E283" s="24" t="s">
        <v>24</v>
      </c>
      <c r="F283" s="24" t="n">
        <v>16.71</v>
      </c>
      <c r="G283" s="25" t="n">
        <v>12</v>
      </c>
      <c r="H283" s="24" t="n">
        <v>9.76</v>
      </c>
      <c r="I283" s="25" t="n">
        <v>13</v>
      </c>
      <c r="J283" s="24" t="n">
        <v>10.19</v>
      </c>
      <c r="K283" s="26" t="n">
        <f aca="false">MAX(0,MIN(Instellingen!$B$8*MIN(F283,Instellingen!$B$4*G283),MIN(H283,Instellingen!$B$4*I283)/Instellingen!$B$8))</f>
        <v>10.2879433210811</v>
      </c>
      <c r="L283" s="26" t="str">
        <f aca="false">IF($E283="Winter",$K283,"")</f>
        <v/>
      </c>
      <c r="M283" s="26" t="str">
        <f aca="false">IF($E283="Lente",$K283,"")</f>
        <v/>
      </c>
      <c r="N283" s="26" t="n">
        <f aca="false">IF($E283="Zomer",$K283,"")</f>
        <v>10.2879433210811</v>
      </c>
      <c r="O283" s="26" t="str">
        <f aca="false">IF($E283="Herfst",$K283,"")</f>
        <v/>
      </c>
    </row>
    <row r="284" customFormat="false" ht="15" hidden="false" customHeight="true" outlineLevel="0" collapsed="false">
      <c r="A284" s="23" t="n">
        <v>46180</v>
      </c>
      <c r="B284" s="24" t="n">
        <v>9.78</v>
      </c>
      <c r="C284" s="24" t="n">
        <v>14.53</v>
      </c>
      <c r="D284" s="24" t="n">
        <v>7.81</v>
      </c>
      <c r="E284" s="24" t="s">
        <v>24</v>
      </c>
      <c r="F284" s="24" t="n">
        <v>14.53</v>
      </c>
      <c r="G284" s="25" t="n">
        <v>11</v>
      </c>
      <c r="H284" s="24" t="n">
        <v>6.26</v>
      </c>
      <c r="I284" s="25" t="n">
        <v>11</v>
      </c>
      <c r="J284" s="24" t="n">
        <v>6.53</v>
      </c>
      <c r="K284" s="26" t="n">
        <f aca="false">MAX(0,MIN(Instellingen!$B$8*MIN(F284,Instellingen!$B$4*G284),MIN(H284,Instellingen!$B$4*I284)/Instellingen!$B$8))</f>
        <v>6.59861938421802</v>
      </c>
      <c r="L284" s="26" t="str">
        <f aca="false">IF($E284="Winter",$K284,"")</f>
        <v/>
      </c>
      <c r="M284" s="26" t="str">
        <f aca="false">IF($E284="Lente",$K284,"")</f>
        <v/>
      </c>
      <c r="N284" s="26" t="n">
        <f aca="false">IF($E284="Zomer",$K284,"")</f>
        <v>6.59861938421802</v>
      </c>
      <c r="O284" s="26" t="str">
        <f aca="false">IF($E284="Herfst",$K284,"")</f>
        <v/>
      </c>
    </row>
    <row r="285" customFormat="false" ht="15" hidden="false" customHeight="true" outlineLevel="0" collapsed="false">
      <c r="A285" s="23" t="n">
        <v>46181</v>
      </c>
      <c r="B285" s="24" t="n">
        <v>6.65</v>
      </c>
      <c r="C285" s="24" t="n">
        <v>18.01</v>
      </c>
      <c r="D285" s="24" t="n">
        <v>5.34</v>
      </c>
      <c r="E285" s="24" t="s">
        <v>24</v>
      </c>
      <c r="F285" s="24" t="n">
        <v>18.01</v>
      </c>
      <c r="G285" s="25" t="n">
        <v>13</v>
      </c>
      <c r="H285" s="24" t="n">
        <v>5.45</v>
      </c>
      <c r="I285" s="25" t="n">
        <v>11</v>
      </c>
      <c r="J285" s="24" t="n">
        <v>5.68</v>
      </c>
      <c r="K285" s="26" t="n">
        <f aca="false">MAX(0,MIN(Instellingen!$B$8*MIN(F285,Instellingen!$B$4*G285),MIN(H285,Instellingen!$B$4*I285)/Instellingen!$B$8))</f>
        <v>5.74480441597256</v>
      </c>
      <c r="L285" s="26" t="str">
        <f aca="false">IF($E285="Winter",$K285,"")</f>
        <v/>
      </c>
      <c r="M285" s="26" t="str">
        <f aca="false">IF($E285="Lente",$K285,"")</f>
        <v/>
      </c>
      <c r="N285" s="26" t="n">
        <f aca="false">IF($E285="Zomer",$K285,"")</f>
        <v>5.74480441597256</v>
      </c>
      <c r="O285" s="26" t="str">
        <f aca="false">IF($E285="Herfst",$K285,"")</f>
        <v/>
      </c>
    </row>
    <row r="286" customFormat="false" ht="15" hidden="false" customHeight="true" outlineLevel="0" collapsed="false">
      <c r="A286" s="23" t="n">
        <v>46182</v>
      </c>
      <c r="B286" s="24" t="n">
        <v>4.76</v>
      </c>
      <c r="C286" s="24" t="n">
        <v>25.51</v>
      </c>
      <c r="D286" s="24" t="n">
        <v>2.33</v>
      </c>
      <c r="E286" s="24" t="s">
        <v>24</v>
      </c>
      <c r="F286" s="24" t="n">
        <v>25.5</v>
      </c>
      <c r="G286" s="25" t="n">
        <v>16</v>
      </c>
      <c r="H286" s="24" t="n">
        <v>2.06</v>
      </c>
      <c r="I286" s="25" t="n">
        <v>8</v>
      </c>
      <c r="J286" s="24" t="n">
        <v>2.14</v>
      </c>
      <c r="K286" s="26" t="n">
        <f aca="false">MAX(0,MIN(Instellingen!$B$8*MIN(F286,Instellingen!$B$4*G286),MIN(H286,Instellingen!$B$4*I286)/Instellingen!$B$8))</f>
        <v>2.17143065998229</v>
      </c>
      <c r="L286" s="26" t="str">
        <f aca="false">IF($E286="Winter",$K286,"")</f>
        <v/>
      </c>
      <c r="M286" s="26" t="str">
        <f aca="false">IF($E286="Lente",$K286,"")</f>
        <v/>
      </c>
      <c r="N286" s="26" t="n">
        <f aca="false">IF($E286="Zomer",$K286,"")</f>
        <v>2.17143065998229</v>
      </c>
      <c r="O286" s="26" t="str">
        <f aca="false">IF($E286="Herfst",$K286,"")</f>
        <v/>
      </c>
    </row>
    <row r="287" customFormat="false" ht="15" hidden="false" customHeight="true" outlineLevel="0" collapsed="false">
      <c r="A287" s="23" t="n">
        <v>46183</v>
      </c>
      <c r="B287" s="24" t="n">
        <v>10.38</v>
      </c>
      <c r="C287" s="24" t="n">
        <v>16.36</v>
      </c>
      <c r="D287" s="24" t="n">
        <v>5.42</v>
      </c>
      <c r="E287" s="24" t="s">
        <v>24</v>
      </c>
      <c r="F287" s="24" t="n">
        <v>16.36</v>
      </c>
      <c r="G287" s="25" t="n">
        <v>16</v>
      </c>
      <c r="H287" s="24" t="n">
        <v>6.03</v>
      </c>
      <c r="I287" s="25" t="n">
        <v>8</v>
      </c>
      <c r="J287" s="24" t="n">
        <v>5.32</v>
      </c>
      <c r="K287" s="26" t="n">
        <f aca="false">MAX(0,MIN(Instellingen!$B$8*MIN(F287,Instellingen!$B$4*G287),MIN(H287,Instellingen!$B$4*I287)/Instellingen!$B$8))</f>
        <v>6.35617809693844</v>
      </c>
      <c r="L287" s="26" t="str">
        <f aca="false">IF($E287="Winter",$K287,"")</f>
        <v/>
      </c>
      <c r="M287" s="26" t="str">
        <f aca="false">IF($E287="Lente",$K287,"")</f>
        <v/>
      </c>
      <c r="N287" s="26" t="n">
        <f aca="false">IF($E287="Zomer",$K287,"")</f>
        <v>6.35617809693844</v>
      </c>
      <c r="O287" s="26" t="str">
        <f aca="false">IF($E287="Herfst",$K287,"")</f>
        <v/>
      </c>
    </row>
    <row r="288" customFormat="false" ht="15" hidden="false" customHeight="true" outlineLevel="0" collapsed="false">
      <c r="A288" s="23" t="n">
        <v>46184</v>
      </c>
      <c r="B288" s="24" t="n">
        <v>4.72</v>
      </c>
      <c r="C288" s="24" t="n">
        <v>17.15</v>
      </c>
      <c r="D288" s="24" t="n">
        <v>4.05</v>
      </c>
      <c r="E288" s="24" t="s">
        <v>24</v>
      </c>
      <c r="F288" s="24" t="n">
        <v>17.16</v>
      </c>
      <c r="G288" s="25" t="n">
        <v>13</v>
      </c>
      <c r="H288" s="24" t="n">
        <v>5.53</v>
      </c>
      <c r="I288" s="25" t="n">
        <v>14</v>
      </c>
      <c r="J288" s="24" t="n">
        <v>5.75</v>
      </c>
      <c r="K288" s="26" t="n">
        <f aca="false">MAX(0,MIN(Instellingen!$B$8*MIN(F288,Instellingen!$B$4*G288),MIN(H288,Instellingen!$B$4*I288)/Instellingen!$B$8))</f>
        <v>5.82913182024371</v>
      </c>
      <c r="L288" s="26" t="str">
        <f aca="false">IF($E288="Winter",$K288,"")</f>
        <v/>
      </c>
      <c r="M288" s="26" t="str">
        <f aca="false">IF($E288="Lente",$K288,"")</f>
        <v/>
      </c>
      <c r="N288" s="26" t="n">
        <f aca="false">IF($E288="Zomer",$K288,"")</f>
        <v>5.82913182024371</v>
      </c>
      <c r="O288" s="26" t="str">
        <f aca="false">IF($E288="Herfst",$K288,"")</f>
        <v/>
      </c>
    </row>
    <row r="289" customFormat="false" ht="15" hidden="false" customHeight="true" outlineLevel="0" collapsed="false">
      <c r="A289" s="23" t="n">
        <v>46185</v>
      </c>
      <c r="B289" s="24" t="n">
        <v>4.26</v>
      </c>
      <c r="C289" s="24" t="n">
        <v>15.79</v>
      </c>
      <c r="D289" s="24" t="n">
        <v>4.08</v>
      </c>
      <c r="E289" s="24" t="s">
        <v>24</v>
      </c>
      <c r="F289" s="24" t="n">
        <v>15.79</v>
      </c>
      <c r="G289" s="25" t="n">
        <v>12</v>
      </c>
      <c r="H289" s="24" t="n">
        <v>1.96</v>
      </c>
      <c r="I289" s="25" t="n">
        <v>9</v>
      </c>
      <c r="J289" s="24" t="n">
        <v>2.05</v>
      </c>
      <c r="K289" s="26" t="n">
        <f aca="false">MAX(0,MIN(Instellingen!$B$8*MIN(F289,Instellingen!$B$4*G289),MIN(H289,Instellingen!$B$4*I289)/Instellingen!$B$8))</f>
        <v>2.06602140464334</v>
      </c>
      <c r="L289" s="26" t="str">
        <f aca="false">IF($E289="Winter",$K289,"")</f>
        <v/>
      </c>
      <c r="M289" s="26" t="str">
        <f aca="false">IF($E289="Lente",$K289,"")</f>
        <v/>
      </c>
      <c r="N289" s="26" t="n">
        <f aca="false">IF($E289="Zomer",$K289,"")</f>
        <v>2.06602140464334</v>
      </c>
      <c r="O289" s="26" t="str">
        <f aca="false">IF($E289="Herfst",$K289,"")</f>
        <v/>
      </c>
    </row>
    <row r="290" customFormat="false" ht="15" hidden="false" customHeight="true" outlineLevel="0" collapsed="false">
      <c r="A290" s="23" t="n">
        <v>46186</v>
      </c>
      <c r="B290" s="24" t="n">
        <v>2.37</v>
      </c>
      <c r="C290" s="24" t="n">
        <v>19.55</v>
      </c>
      <c r="D290" s="24" t="n">
        <v>2.23</v>
      </c>
      <c r="E290" s="24" t="s">
        <v>24</v>
      </c>
      <c r="F290" s="24" t="n">
        <v>19.55</v>
      </c>
      <c r="G290" s="25" t="n">
        <v>14</v>
      </c>
      <c r="H290" s="24" t="n">
        <v>2.29</v>
      </c>
      <c r="I290" s="25" t="n">
        <v>10</v>
      </c>
      <c r="J290" s="24" t="n">
        <v>2.39</v>
      </c>
      <c r="K290" s="26" t="n">
        <f aca="false">MAX(0,MIN(Instellingen!$B$8*MIN(F290,Instellingen!$B$4*G290),MIN(H290,Instellingen!$B$4*I290)/Instellingen!$B$8))</f>
        <v>2.41387194726186</v>
      </c>
      <c r="L290" s="26" t="str">
        <f aca="false">IF($E290="Winter",$K290,"")</f>
        <v/>
      </c>
      <c r="M290" s="26" t="str">
        <f aca="false">IF($E290="Lente",$K290,"")</f>
        <v/>
      </c>
      <c r="N290" s="26" t="n">
        <f aca="false">IF($E290="Zomer",$K290,"")</f>
        <v>2.41387194726186</v>
      </c>
      <c r="O290" s="26" t="str">
        <f aca="false">IF($E290="Herfst",$K290,"")</f>
        <v/>
      </c>
    </row>
    <row r="291" customFormat="false" ht="15" hidden="false" customHeight="true" outlineLevel="0" collapsed="false">
      <c r="A291" s="23" t="n">
        <v>46187</v>
      </c>
      <c r="B291" s="24" t="n">
        <v>5.11</v>
      </c>
      <c r="C291" s="24" t="n">
        <v>21.13</v>
      </c>
      <c r="D291" s="24" t="n">
        <v>3.43</v>
      </c>
      <c r="E291" s="24" t="s">
        <v>24</v>
      </c>
      <c r="F291" s="24" t="n">
        <v>21.13</v>
      </c>
      <c r="G291" s="25" t="n">
        <v>16</v>
      </c>
      <c r="H291" s="24" t="n">
        <v>4.16</v>
      </c>
      <c r="I291" s="25" t="n">
        <v>10</v>
      </c>
      <c r="J291" s="24" t="n">
        <v>4.34</v>
      </c>
      <c r="K291" s="26" t="n">
        <f aca="false">MAX(0,MIN(Instellingen!$B$8*MIN(F291,Instellingen!$B$4*G291),MIN(H291,Instellingen!$B$4*I291)/Instellingen!$B$8))</f>
        <v>4.38502502210015</v>
      </c>
      <c r="L291" s="26" t="str">
        <f aca="false">IF($E291="Winter",$K291,"")</f>
        <v/>
      </c>
      <c r="M291" s="26" t="str">
        <f aca="false">IF($E291="Lente",$K291,"")</f>
        <v/>
      </c>
      <c r="N291" s="26" t="n">
        <f aca="false">IF($E291="Zomer",$K291,"")</f>
        <v>4.38502502210015</v>
      </c>
      <c r="O291" s="26" t="str">
        <f aca="false">IF($E291="Herfst",$K291,"")</f>
        <v/>
      </c>
    </row>
    <row r="292" customFormat="false" ht="15" hidden="false" customHeight="true" outlineLevel="0" collapsed="false">
      <c r="A292" s="23" t="n">
        <v>46188</v>
      </c>
      <c r="B292" s="24" t="n">
        <v>6.13</v>
      </c>
      <c r="C292" s="24" t="n">
        <v>16.92</v>
      </c>
      <c r="D292" s="24" t="n">
        <v>5.17</v>
      </c>
      <c r="E292" s="24" t="s">
        <v>24</v>
      </c>
      <c r="F292" s="24" t="n">
        <v>16.92</v>
      </c>
      <c r="G292" s="25" t="n">
        <v>13</v>
      </c>
      <c r="H292" s="24" t="n">
        <v>4.56</v>
      </c>
      <c r="I292" s="25" t="n">
        <v>9</v>
      </c>
      <c r="J292" s="24" t="n">
        <v>4.75</v>
      </c>
      <c r="K292" s="26" t="n">
        <f aca="false">MAX(0,MIN(Instellingen!$B$8*MIN(F292,Instellingen!$B$4*G292),MIN(H292,Instellingen!$B$4*I292)/Instellingen!$B$8))</f>
        <v>4.80666204345594</v>
      </c>
      <c r="L292" s="26" t="str">
        <f aca="false">IF($E292="Winter",$K292,"")</f>
        <v/>
      </c>
      <c r="M292" s="26" t="str">
        <f aca="false">IF($E292="Lente",$K292,"")</f>
        <v/>
      </c>
      <c r="N292" s="26" t="n">
        <f aca="false">IF($E292="Zomer",$K292,"")</f>
        <v>4.80666204345594</v>
      </c>
      <c r="O292" s="26" t="str">
        <f aca="false">IF($E292="Herfst",$K292,"")</f>
        <v/>
      </c>
    </row>
    <row r="293" customFormat="false" ht="15" hidden="false" customHeight="true" outlineLevel="0" collapsed="false">
      <c r="A293" s="23" t="n">
        <v>46189</v>
      </c>
      <c r="B293" s="24" t="n">
        <v>4.56</v>
      </c>
      <c r="C293" s="24" t="n">
        <v>28.97</v>
      </c>
      <c r="D293" s="24" t="n">
        <v>2.55</v>
      </c>
      <c r="E293" s="24" t="s">
        <v>24</v>
      </c>
      <c r="F293" s="24" t="n">
        <v>28.97</v>
      </c>
      <c r="G293" s="25" t="n">
        <v>15</v>
      </c>
      <c r="H293" s="24" t="n">
        <v>3.18</v>
      </c>
      <c r="I293" s="25" t="n">
        <v>10</v>
      </c>
      <c r="J293" s="24" t="n">
        <v>3.31</v>
      </c>
      <c r="K293" s="26" t="n">
        <f aca="false">MAX(0,MIN(Instellingen!$B$8*MIN(F293,Instellingen!$B$4*G293),MIN(H293,Instellingen!$B$4*I293)/Instellingen!$B$8))</f>
        <v>3.35201431977848</v>
      </c>
      <c r="L293" s="26" t="str">
        <f aca="false">IF($E293="Winter",$K293,"")</f>
        <v/>
      </c>
      <c r="M293" s="26" t="str">
        <f aca="false">IF($E293="Lente",$K293,"")</f>
        <v/>
      </c>
      <c r="N293" s="26" t="n">
        <f aca="false">IF($E293="Zomer",$K293,"")</f>
        <v>3.35201431977848</v>
      </c>
      <c r="O293" s="26" t="str">
        <f aca="false">IF($E293="Herfst",$K293,"")</f>
        <v/>
      </c>
    </row>
    <row r="294" customFormat="false" ht="15" hidden="false" customHeight="true" outlineLevel="0" collapsed="false">
      <c r="A294" s="23" t="n">
        <v>46190</v>
      </c>
      <c r="B294" s="24" t="n">
        <v>6.9</v>
      </c>
      <c r="C294" s="24" t="n">
        <v>17.42</v>
      </c>
      <c r="D294" s="24" t="n">
        <v>3.41</v>
      </c>
      <c r="E294" s="24" t="s">
        <v>24</v>
      </c>
      <c r="F294" s="24" t="n">
        <v>17.42</v>
      </c>
      <c r="G294" s="25" t="n">
        <v>14</v>
      </c>
      <c r="H294" s="24" t="n">
        <v>2.69</v>
      </c>
      <c r="I294" s="25" t="n">
        <v>9</v>
      </c>
      <c r="J294" s="24" t="n">
        <v>2.8</v>
      </c>
      <c r="K294" s="26" t="n">
        <f aca="false">MAX(0,MIN(Instellingen!$B$8*MIN(F294,Instellingen!$B$4*G294),MIN(H294,Instellingen!$B$4*I294)/Instellingen!$B$8))</f>
        <v>2.83550896861765</v>
      </c>
      <c r="L294" s="26" t="str">
        <f aca="false">IF($E294="Winter",$K294,"")</f>
        <v/>
      </c>
      <c r="M294" s="26" t="str">
        <f aca="false">IF($E294="Lente",$K294,"")</f>
        <v/>
      </c>
      <c r="N294" s="26" t="n">
        <f aca="false">IF($E294="Zomer",$K294,"")</f>
        <v>2.83550896861765</v>
      </c>
      <c r="O294" s="26" t="str">
        <f aca="false">IF($E294="Herfst",$K294,"")</f>
        <v/>
      </c>
    </row>
    <row r="295" customFormat="false" ht="15" hidden="false" customHeight="true" outlineLevel="0" collapsed="false">
      <c r="A295" s="23" t="n">
        <v>46191</v>
      </c>
      <c r="B295" s="24" t="n">
        <v>6.25</v>
      </c>
      <c r="C295" s="24" t="n">
        <v>34.93</v>
      </c>
      <c r="D295" s="24" t="n">
        <v>5.14</v>
      </c>
      <c r="E295" s="24" t="s">
        <v>24</v>
      </c>
      <c r="F295" s="24" t="n">
        <v>34.93</v>
      </c>
      <c r="G295" s="25" t="n">
        <v>14</v>
      </c>
      <c r="H295" s="24" t="n">
        <v>5.35</v>
      </c>
      <c r="I295" s="25" t="n">
        <v>10</v>
      </c>
      <c r="J295" s="24" t="n">
        <v>5.59</v>
      </c>
      <c r="K295" s="26" t="n">
        <f aca="false">MAX(0,MIN(Instellingen!$B$8*MIN(F295,Instellingen!$B$4*G295),MIN(H295,Instellingen!$B$4*I295)/Instellingen!$B$8))</f>
        <v>5.63939516063361</v>
      </c>
      <c r="L295" s="26" t="str">
        <f aca="false">IF($E295="Winter",$K295,"")</f>
        <v/>
      </c>
      <c r="M295" s="26" t="str">
        <f aca="false">IF($E295="Lente",$K295,"")</f>
        <v/>
      </c>
      <c r="N295" s="26" t="n">
        <f aca="false">IF($E295="Zomer",$K295,"")</f>
        <v>5.63939516063361</v>
      </c>
      <c r="O295" s="26" t="str">
        <f aca="false">IF($E295="Herfst",$K295,"")</f>
        <v/>
      </c>
    </row>
    <row r="296" customFormat="false" ht="15" hidden="false" customHeight="true" outlineLevel="0" collapsed="false">
      <c r="A296" s="23" t="n">
        <v>46192</v>
      </c>
      <c r="B296" s="24" t="n">
        <v>5.68</v>
      </c>
      <c r="C296" s="24" t="n">
        <v>25.91</v>
      </c>
      <c r="D296" s="24" t="n">
        <v>4.26</v>
      </c>
      <c r="E296" s="24" t="s">
        <v>24</v>
      </c>
      <c r="F296" s="24" t="n">
        <v>25.91</v>
      </c>
      <c r="G296" s="25" t="n">
        <v>14</v>
      </c>
      <c r="H296" s="24" t="n">
        <v>4.76</v>
      </c>
      <c r="I296" s="25" t="n">
        <v>10</v>
      </c>
      <c r="J296" s="24" t="n">
        <v>4.97</v>
      </c>
      <c r="K296" s="26" t="n">
        <f aca="false">MAX(0,MIN(Instellingen!$B$8*MIN(F296,Instellingen!$B$4*G296),MIN(H296,Instellingen!$B$4*I296)/Instellingen!$B$8))</f>
        <v>5.01748055413383</v>
      </c>
      <c r="L296" s="26" t="str">
        <f aca="false">IF($E296="Winter",$K296,"")</f>
        <v/>
      </c>
      <c r="M296" s="26" t="str">
        <f aca="false">IF($E296="Lente",$K296,"")</f>
        <v/>
      </c>
      <c r="N296" s="26" t="n">
        <f aca="false">IF($E296="Zomer",$K296,"")</f>
        <v>5.01748055413383</v>
      </c>
      <c r="O296" s="26" t="str">
        <f aca="false">IF($E296="Herfst",$K296,"")</f>
        <v/>
      </c>
    </row>
    <row r="297" customFormat="false" ht="15" hidden="false" customHeight="true" outlineLevel="0" collapsed="false">
      <c r="A297" s="23" t="n">
        <v>46193</v>
      </c>
      <c r="B297" s="24" t="n">
        <v>9.03</v>
      </c>
      <c r="C297" s="24" t="n">
        <v>18.81</v>
      </c>
      <c r="D297" s="24" t="n">
        <v>5.54</v>
      </c>
      <c r="E297" s="24" t="s">
        <v>24</v>
      </c>
      <c r="F297" s="24" t="n">
        <v>18.81</v>
      </c>
      <c r="G297" s="25" t="n">
        <v>15</v>
      </c>
      <c r="H297" s="24" t="n">
        <v>7.45</v>
      </c>
      <c r="I297" s="25" t="n">
        <v>9</v>
      </c>
      <c r="J297" s="24" t="n">
        <v>7.77</v>
      </c>
      <c r="K297" s="26" t="n">
        <f aca="false">MAX(0,MIN(Instellingen!$B$8*MIN(F297,Instellingen!$B$4*G297),MIN(H297,Instellingen!$B$4*I297)/Instellingen!$B$8))</f>
        <v>7.85298952275148</v>
      </c>
      <c r="L297" s="26" t="str">
        <f aca="false">IF($E297="Winter",$K297,"")</f>
        <v/>
      </c>
      <c r="M297" s="26" t="str">
        <f aca="false">IF($E297="Lente",$K297,"")</f>
        <v/>
      </c>
      <c r="N297" s="26" t="n">
        <f aca="false">IF($E297="Zomer",$K297,"")</f>
        <v>7.85298952275148</v>
      </c>
      <c r="O297" s="26" t="str">
        <f aca="false">IF($E297="Herfst",$K297,"")</f>
        <v/>
      </c>
    </row>
    <row r="298" customFormat="false" ht="15" hidden="false" customHeight="true" outlineLevel="0" collapsed="false">
      <c r="A298" s="23" t="n">
        <v>46194</v>
      </c>
      <c r="B298" s="24" t="n">
        <v>10.22</v>
      </c>
      <c r="C298" s="24" t="n">
        <v>16.42</v>
      </c>
      <c r="D298" s="24" t="n">
        <v>6.3</v>
      </c>
      <c r="E298" s="24" t="s">
        <v>24</v>
      </c>
      <c r="F298" s="24" t="n">
        <v>16.42</v>
      </c>
      <c r="G298" s="25" t="n">
        <v>15</v>
      </c>
      <c r="H298" s="24" t="n">
        <v>3.77</v>
      </c>
      <c r="I298" s="25" t="n">
        <v>9</v>
      </c>
      <c r="J298" s="24" t="n">
        <v>3.93</v>
      </c>
      <c r="K298" s="26" t="n">
        <f aca="false">MAX(0,MIN(Instellingen!$B$8*MIN(F298,Instellingen!$B$4*G298),MIN(H298,Instellingen!$B$4*I298)/Instellingen!$B$8))</f>
        <v>3.97392892627826</v>
      </c>
      <c r="L298" s="26" t="str">
        <f aca="false">IF($E298="Winter",$K298,"")</f>
        <v/>
      </c>
      <c r="M298" s="26" t="str">
        <f aca="false">IF($E298="Lente",$K298,"")</f>
        <v/>
      </c>
      <c r="N298" s="26" t="n">
        <f aca="false">IF($E298="Zomer",$K298,"")</f>
        <v>3.97392892627826</v>
      </c>
      <c r="O298" s="26" t="str">
        <f aca="false">IF($E298="Herfst",$K298,"")</f>
        <v/>
      </c>
    </row>
    <row r="299" customFormat="false" ht="15" hidden="false" customHeight="true" outlineLevel="0" collapsed="false">
      <c r="A299" s="23" t="n">
        <v>46195</v>
      </c>
      <c r="B299" s="24" t="n">
        <v>7.81</v>
      </c>
      <c r="C299" s="24" t="n">
        <v>39.95</v>
      </c>
      <c r="D299" s="24" t="n">
        <v>6.62</v>
      </c>
      <c r="E299" s="24" t="s">
        <v>24</v>
      </c>
      <c r="F299" s="24" t="n">
        <v>39.95</v>
      </c>
      <c r="G299" s="25" t="n">
        <v>6</v>
      </c>
      <c r="H299" s="24" t="n">
        <v>7.08</v>
      </c>
      <c r="I299" s="25" t="n">
        <v>19</v>
      </c>
      <c r="J299" s="24" t="n">
        <v>6.97</v>
      </c>
      <c r="K299" s="26" t="n">
        <f aca="false">MAX(0,MIN(Instellingen!$B$8*MIN(F299,Instellingen!$B$4*G299),MIN(H299,Instellingen!$B$4*I299)/Instellingen!$B$8))</f>
        <v>7.46297527799738</v>
      </c>
      <c r="L299" s="26" t="str">
        <f aca="false">IF($E299="Winter",$K299,"")</f>
        <v/>
      </c>
      <c r="M299" s="26" t="str">
        <f aca="false">IF($E299="Lente",$K299,"")</f>
        <v/>
      </c>
      <c r="N299" s="26" t="n">
        <f aca="false">IF($E299="Zomer",$K299,"")</f>
        <v>7.46297527799738</v>
      </c>
      <c r="O299" s="26" t="str">
        <f aca="false">IF($E299="Herfst",$K299,"")</f>
        <v/>
      </c>
    </row>
    <row r="300" customFormat="false" ht="15" hidden="false" customHeight="true" outlineLevel="0" collapsed="false">
      <c r="A300" s="23" t="n">
        <v>46196</v>
      </c>
      <c r="B300" s="24" t="n">
        <v>5.42</v>
      </c>
      <c r="C300" s="24" t="n">
        <v>21.45</v>
      </c>
      <c r="D300" s="24" t="n">
        <v>3.67</v>
      </c>
      <c r="E300" s="24" t="s">
        <v>24</v>
      </c>
      <c r="F300" s="24" t="n">
        <v>21.44</v>
      </c>
      <c r="G300" s="25" t="n">
        <v>14</v>
      </c>
      <c r="H300" s="24" t="n">
        <v>4.73</v>
      </c>
      <c r="I300" s="25" t="n">
        <v>9</v>
      </c>
      <c r="J300" s="24" t="n">
        <v>4.93</v>
      </c>
      <c r="K300" s="26" t="n">
        <f aca="false">MAX(0,MIN(Instellingen!$B$8*MIN(F300,Instellingen!$B$4*G300),MIN(H300,Instellingen!$B$4*I300)/Instellingen!$B$8))</f>
        <v>4.98585777753215</v>
      </c>
      <c r="L300" s="26" t="str">
        <f aca="false">IF($E300="Winter",$K300,"")</f>
        <v/>
      </c>
      <c r="M300" s="26" t="str">
        <f aca="false">IF($E300="Lente",$K300,"")</f>
        <v/>
      </c>
      <c r="N300" s="26" t="n">
        <f aca="false">IF($E300="Zomer",$K300,"")</f>
        <v>4.98585777753215</v>
      </c>
      <c r="O300" s="26" t="str">
        <f aca="false">IF($E300="Herfst",$K300,"")</f>
        <v/>
      </c>
    </row>
    <row r="301" customFormat="false" ht="15" hidden="false" customHeight="true" outlineLevel="0" collapsed="false">
      <c r="A301" s="23" t="n">
        <v>46197</v>
      </c>
      <c r="B301" s="24" t="n">
        <v>12.9</v>
      </c>
      <c r="C301" s="24" t="n">
        <v>12.99</v>
      </c>
      <c r="D301" s="24" t="n">
        <v>9.12</v>
      </c>
      <c r="E301" s="24" t="s">
        <v>24</v>
      </c>
      <c r="F301" s="24" t="n">
        <v>12.99</v>
      </c>
      <c r="G301" s="25" t="n">
        <v>15</v>
      </c>
      <c r="H301" s="24" t="n">
        <v>8.4</v>
      </c>
      <c r="I301" s="25" t="n">
        <v>9</v>
      </c>
      <c r="J301" s="24" t="n">
        <v>8.77</v>
      </c>
      <c r="K301" s="26" t="n">
        <f aca="false">MAX(0,MIN(Instellingen!$B$8*MIN(F301,Instellingen!$B$4*G301),MIN(H301,Instellingen!$B$4*I301)/Instellingen!$B$8))</f>
        <v>8.85437744847146</v>
      </c>
      <c r="L301" s="26" t="str">
        <f aca="false">IF($E301="Winter",$K301,"")</f>
        <v/>
      </c>
      <c r="M301" s="26" t="str">
        <f aca="false">IF($E301="Lente",$K301,"")</f>
        <v/>
      </c>
      <c r="N301" s="26" t="n">
        <f aca="false">IF($E301="Zomer",$K301,"")</f>
        <v>8.85437744847146</v>
      </c>
      <c r="O301" s="26" t="str">
        <f aca="false">IF($E301="Herfst",$K301,"")</f>
        <v/>
      </c>
    </row>
    <row r="302" customFormat="false" ht="15" hidden="false" customHeight="true" outlineLevel="0" collapsed="false">
      <c r="A302" s="23" t="n">
        <v>46198</v>
      </c>
      <c r="B302" s="24" t="n">
        <v>8.87</v>
      </c>
      <c r="C302" s="24" t="n">
        <v>20.33</v>
      </c>
      <c r="D302" s="24" t="n">
        <v>8.31</v>
      </c>
      <c r="E302" s="24" t="s">
        <v>24</v>
      </c>
      <c r="F302" s="24" t="n">
        <v>20.33</v>
      </c>
      <c r="G302" s="25" t="n">
        <v>14</v>
      </c>
      <c r="H302" s="24" t="n">
        <v>8.95</v>
      </c>
      <c r="I302" s="25" t="n">
        <v>10</v>
      </c>
      <c r="J302" s="24" t="n">
        <v>9.34</v>
      </c>
      <c r="K302" s="26" t="n">
        <f aca="false">MAX(0,MIN(Instellingen!$B$8*MIN(F302,Instellingen!$B$4*G302),MIN(H302,Instellingen!$B$4*I302)/Instellingen!$B$8))</f>
        <v>9.43412835283566</v>
      </c>
      <c r="L302" s="26" t="str">
        <f aca="false">IF($E302="Winter",$K302,"")</f>
        <v/>
      </c>
      <c r="M302" s="26" t="str">
        <f aca="false">IF($E302="Lente",$K302,"")</f>
        <v/>
      </c>
      <c r="N302" s="26" t="n">
        <f aca="false">IF($E302="Zomer",$K302,"")</f>
        <v>9.43412835283566</v>
      </c>
      <c r="O302" s="26" t="str">
        <f aca="false">IF($E302="Herfst",$K302,"")</f>
        <v/>
      </c>
    </row>
    <row r="303" customFormat="false" ht="15" hidden="false" customHeight="true" outlineLevel="0" collapsed="false">
      <c r="A303" s="23" t="n">
        <v>46199</v>
      </c>
      <c r="B303" s="24" t="n">
        <v>11.11</v>
      </c>
      <c r="C303" s="24" t="n">
        <v>17.39</v>
      </c>
      <c r="D303" s="24" t="n">
        <v>9.98</v>
      </c>
      <c r="E303" s="24" t="s">
        <v>24</v>
      </c>
      <c r="F303" s="24" t="n">
        <v>17.39</v>
      </c>
      <c r="G303" s="25" t="n">
        <v>13</v>
      </c>
      <c r="H303" s="24" t="n">
        <v>8.97</v>
      </c>
      <c r="I303" s="25" t="n">
        <v>11</v>
      </c>
      <c r="J303" s="24" t="n">
        <v>9.36</v>
      </c>
      <c r="K303" s="26" t="n">
        <f aca="false">MAX(0,MIN(Instellingen!$B$8*MIN(F303,Instellingen!$B$4*G303),MIN(H303,Instellingen!$B$4*I303)/Instellingen!$B$8))</f>
        <v>9.45521020390346</v>
      </c>
      <c r="L303" s="26" t="str">
        <f aca="false">IF($E303="Winter",$K303,"")</f>
        <v/>
      </c>
      <c r="M303" s="26" t="str">
        <f aca="false">IF($E303="Lente",$K303,"")</f>
        <v/>
      </c>
      <c r="N303" s="26" t="n">
        <f aca="false">IF($E303="Zomer",$K303,"")</f>
        <v>9.45521020390346</v>
      </c>
      <c r="O303" s="26" t="str">
        <f aca="false">IF($E303="Herfst",$K303,"")</f>
        <v/>
      </c>
    </row>
    <row r="304" customFormat="false" ht="15" hidden="false" customHeight="true" outlineLevel="0" collapsed="false">
      <c r="A304" s="23" t="n">
        <v>46200</v>
      </c>
      <c r="B304" s="24" t="n">
        <v>8</v>
      </c>
      <c r="C304" s="24" t="n">
        <v>16.3</v>
      </c>
      <c r="D304" s="24" t="n">
        <v>6.76</v>
      </c>
      <c r="E304" s="24" t="s">
        <v>24</v>
      </c>
      <c r="F304" s="24" t="n">
        <v>16.3</v>
      </c>
      <c r="G304" s="25" t="n">
        <v>14</v>
      </c>
      <c r="H304" s="24" t="n">
        <v>6.96</v>
      </c>
      <c r="I304" s="25" t="n">
        <v>10</v>
      </c>
      <c r="J304" s="24" t="n">
        <v>7.26</v>
      </c>
      <c r="K304" s="26" t="n">
        <f aca="false">MAX(0,MIN(Instellingen!$B$8*MIN(F304,Instellingen!$B$4*G304),MIN(H304,Instellingen!$B$4*I304)/Instellingen!$B$8))</f>
        <v>7.33648417159064</v>
      </c>
      <c r="L304" s="26" t="str">
        <f aca="false">IF($E304="Winter",$K304,"")</f>
        <v/>
      </c>
      <c r="M304" s="26" t="str">
        <f aca="false">IF($E304="Lente",$K304,"")</f>
        <v/>
      </c>
      <c r="N304" s="26" t="n">
        <f aca="false">IF($E304="Zomer",$K304,"")</f>
        <v>7.33648417159064</v>
      </c>
      <c r="O304" s="26" t="str">
        <f aca="false">IF($E304="Herfst",$K304,"")</f>
        <v/>
      </c>
    </row>
    <row r="305" customFormat="false" ht="15" hidden="false" customHeight="true" outlineLevel="0" collapsed="false">
      <c r="A305" s="23" t="n">
        <v>46201</v>
      </c>
      <c r="B305" s="24" t="n">
        <v>4.87</v>
      </c>
      <c r="C305" s="24" t="n">
        <v>21.55</v>
      </c>
      <c r="D305" s="24" t="n">
        <v>3.36</v>
      </c>
      <c r="E305" s="24" t="s">
        <v>24</v>
      </c>
      <c r="F305" s="24" t="n">
        <v>21.55</v>
      </c>
      <c r="G305" s="25" t="n">
        <v>16</v>
      </c>
      <c r="H305" s="24" t="n">
        <v>4.61</v>
      </c>
      <c r="I305" s="25" t="n">
        <v>8</v>
      </c>
      <c r="J305" s="24" t="n">
        <v>4.82</v>
      </c>
      <c r="K305" s="26" t="n">
        <f aca="false">MAX(0,MIN(Instellingen!$B$8*MIN(F305,Instellingen!$B$4*G305),MIN(H305,Instellingen!$B$4*I305)/Instellingen!$B$8))</f>
        <v>4.85936667112541</v>
      </c>
      <c r="L305" s="26" t="str">
        <f aca="false">IF($E305="Winter",$K305,"")</f>
        <v/>
      </c>
      <c r="M305" s="26" t="str">
        <f aca="false">IF($E305="Lente",$K305,"")</f>
        <v/>
      </c>
      <c r="N305" s="26" t="n">
        <f aca="false">IF($E305="Zomer",$K305,"")</f>
        <v>4.85936667112541</v>
      </c>
      <c r="O305" s="26" t="str">
        <f aca="false">IF($E305="Herfst",$K305,"")</f>
        <v/>
      </c>
    </row>
    <row r="306" customFormat="false" ht="15" hidden="false" customHeight="true" outlineLevel="0" collapsed="false">
      <c r="A306" s="23" t="n">
        <v>46202</v>
      </c>
      <c r="B306" s="24" t="n">
        <v>7.46</v>
      </c>
      <c r="C306" s="24" t="n">
        <v>31.27</v>
      </c>
      <c r="D306" s="24" t="n">
        <v>5.37</v>
      </c>
      <c r="E306" s="24" t="s">
        <v>24</v>
      </c>
      <c r="F306" s="24" t="n">
        <v>31.27</v>
      </c>
      <c r="G306" s="25" t="n">
        <v>16</v>
      </c>
      <c r="H306" s="24" t="n">
        <v>4.72</v>
      </c>
      <c r="I306" s="25" t="n">
        <v>8</v>
      </c>
      <c r="J306" s="24" t="n">
        <v>4.93</v>
      </c>
      <c r="K306" s="26" t="n">
        <f aca="false">MAX(0,MIN(Instellingen!$B$8*MIN(F306,Instellingen!$B$4*G306),MIN(H306,Instellingen!$B$4*I306)/Instellingen!$B$8))</f>
        <v>4.97531685199825</v>
      </c>
      <c r="L306" s="26" t="str">
        <f aca="false">IF($E306="Winter",$K306,"")</f>
        <v/>
      </c>
      <c r="M306" s="26" t="str">
        <f aca="false">IF($E306="Lente",$K306,"")</f>
        <v/>
      </c>
      <c r="N306" s="26" t="n">
        <f aca="false">IF($E306="Zomer",$K306,"")</f>
        <v>4.97531685199825</v>
      </c>
      <c r="O306" s="26" t="str">
        <f aca="false">IF($E306="Herfst",$K306,"")</f>
        <v/>
      </c>
    </row>
    <row r="307" customFormat="false" ht="15" hidden="false" customHeight="true" outlineLevel="0" collapsed="false">
      <c r="A307" s="23" t="n">
        <v>46203</v>
      </c>
      <c r="B307" s="24" t="n">
        <v>7.13</v>
      </c>
      <c r="C307" s="24" t="n">
        <v>13.18</v>
      </c>
      <c r="D307" s="24" t="n">
        <v>6</v>
      </c>
      <c r="E307" s="24" t="s">
        <v>24</v>
      </c>
      <c r="F307" s="24" t="n">
        <v>13.18</v>
      </c>
      <c r="G307" s="25" t="n">
        <v>14</v>
      </c>
      <c r="H307" s="24" t="n">
        <v>5.67</v>
      </c>
      <c r="I307" s="25" t="n">
        <v>10</v>
      </c>
      <c r="J307" s="24" t="n">
        <v>5.91</v>
      </c>
      <c r="K307" s="26" t="n">
        <f aca="false">MAX(0,MIN(Instellingen!$B$8*MIN(F307,Instellingen!$B$4*G307),MIN(H307,Instellingen!$B$4*I307)/Instellingen!$B$8))</f>
        <v>5.97670477771824</v>
      </c>
      <c r="L307" s="26" t="str">
        <f aca="false">IF($E307="Winter",$K307,"")</f>
        <v/>
      </c>
      <c r="M307" s="26" t="str">
        <f aca="false">IF($E307="Lente",$K307,"")</f>
        <v/>
      </c>
      <c r="N307" s="26" t="n">
        <f aca="false">IF($E307="Zomer",$K307,"")</f>
        <v>5.97670477771824</v>
      </c>
      <c r="O307" s="26" t="str">
        <f aca="false">IF($E307="Herfst",$K307,"")</f>
        <v/>
      </c>
    </row>
    <row r="308" customFormat="false" ht="15" hidden="false" customHeight="true" outlineLevel="0" collapsed="false">
      <c r="A308" s="23" t="n">
        <v>46204</v>
      </c>
      <c r="B308" s="24" t="n">
        <v>4.93</v>
      </c>
      <c r="C308" s="24" t="n">
        <v>30.65</v>
      </c>
      <c r="D308" s="24" t="n">
        <v>4.21</v>
      </c>
      <c r="E308" s="24" t="s">
        <v>24</v>
      </c>
      <c r="F308" s="24" t="n">
        <v>30.65</v>
      </c>
      <c r="G308" s="25" t="n">
        <v>16</v>
      </c>
      <c r="H308" s="24" t="n">
        <v>3.31</v>
      </c>
      <c r="I308" s="25" t="n">
        <v>8</v>
      </c>
      <c r="J308" s="24" t="n">
        <v>3.46</v>
      </c>
      <c r="K308" s="26" t="n">
        <f aca="false">MAX(0,MIN(Instellingen!$B$8*MIN(F308,Instellingen!$B$4*G308),MIN(H308,Instellingen!$B$4*I308)/Instellingen!$B$8))</f>
        <v>3.48904635171911</v>
      </c>
      <c r="L308" s="26" t="str">
        <f aca="false">IF($E308="Winter",$K308,"")</f>
        <v/>
      </c>
      <c r="M308" s="26" t="str">
        <f aca="false">IF($E308="Lente",$K308,"")</f>
        <v/>
      </c>
      <c r="N308" s="26" t="n">
        <f aca="false">IF($E308="Zomer",$K308,"")</f>
        <v>3.48904635171911</v>
      </c>
      <c r="O308" s="26" t="str">
        <f aca="false">IF($E308="Herfst",$K308,"")</f>
        <v/>
      </c>
    </row>
    <row r="309" customFormat="false" ht="15" hidden="false" customHeight="true" outlineLevel="0" collapsed="false">
      <c r="A309" s="23" t="n">
        <v>46205</v>
      </c>
      <c r="B309" s="24" t="n">
        <v>4.47</v>
      </c>
      <c r="C309" s="24" t="n">
        <v>25.45</v>
      </c>
      <c r="D309" s="24" t="n">
        <v>3.23</v>
      </c>
      <c r="E309" s="24" t="s">
        <v>24</v>
      </c>
      <c r="F309" s="24" t="n">
        <v>25.45</v>
      </c>
      <c r="G309" s="25" t="n">
        <v>16</v>
      </c>
      <c r="H309" s="24" t="n">
        <v>1.67</v>
      </c>
      <c r="I309" s="25" t="n">
        <v>14</v>
      </c>
      <c r="J309" s="24" t="n">
        <v>1.74</v>
      </c>
      <c r="K309" s="26" t="n">
        <f aca="false">MAX(0,MIN(Instellingen!$B$8*MIN(F309,Instellingen!$B$4*G309),MIN(H309,Instellingen!$B$4*I309)/Instellingen!$B$8))</f>
        <v>1.7603345641604</v>
      </c>
      <c r="L309" s="26" t="str">
        <f aca="false">IF($E309="Winter",$K309,"")</f>
        <v/>
      </c>
      <c r="M309" s="26" t="str">
        <f aca="false">IF($E309="Lente",$K309,"")</f>
        <v/>
      </c>
      <c r="N309" s="26" t="n">
        <f aca="false">IF($E309="Zomer",$K309,"")</f>
        <v>1.7603345641604</v>
      </c>
      <c r="O309" s="26" t="str">
        <f aca="false">IF($E309="Herfst",$K309,"")</f>
        <v/>
      </c>
    </row>
    <row r="310" customFormat="false" ht="15" hidden="false" customHeight="true" outlineLevel="0" collapsed="false">
      <c r="A310" s="23" t="n">
        <v>46206</v>
      </c>
      <c r="B310" s="24" t="n">
        <v>0</v>
      </c>
      <c r="C310" s="24" t="n">
        <v>0</v>
      </c>
      <c r="D310" s="24" t="n">
        <v>0</v>
      </c>
      <c r="E310" s="24" t="s">
        <v>24</v>
      </c>
      <c r="F310" s="24" t="n">
        <v>0</v>
      </c>
      <c r="G310" s="25" t="n">
        <v>0</v>
      </c>
      <c r="H310" s="24" t="n">
        <v>0</v>
      </c>
      <c r="I310" s="25" t="n">
        <v>0</v>
      </c>
      <c r="J310" s="24" t="n">
        <v>0</v>
      </c>
      <c r="K310" s="26" t="n">
        <f aca="false">MAX(0,MIN(Instellingen!$B$8*MIN(F310,Instellingen!$B$4*G310),MIN(H310,Instellingen!$B$4*I310)/Instellingen!$B$8))</f>
        <v>0</v>
      </c>
      <c r="L310" s="26" t="str">
        <f aca="false">IF($E310="Winter",$K310,"")</f>
        <v/>
      </c>
      <c r="M310" s="26" t="str">
        <f aca="false">IF($E310="Lente",$K310,"")</f>
        <v/>
      </c>
      <c r="N310" s="26" t="n">
        <f aca="false">IF($E310="Zomer",$K310,"")</f>
        <v>0</v>
      </c>
      <c r="O310" s="26" t="str">
        <f aca="false">IF($E310="Herfst",$K310,"")</f>
        <v/>
      </c>
    </row>
    <row r="311" customFormat="false" ht="15" hidden="false" customHeight="true" outlineLevel="0" collapsed="false">
      <c r="A311" s="23" t="n">
        <v>46207</v>
      </c>
      <c r="B311" s="24" t="n">
        <v>3.9</v>
      </c>
      <c r="C311" s="24" t="n">
        <v>63.81</v>
      </c>
      <c r="D311" s="24" t="n">
        <v>0.71</v>
      </c>
      <c r="E311" s="24" t="s">
        <v>24</v>
      </c>
      <c r="F311" s="24" t="n">
        <v>63.81</v>
      </c>
      <c r="G311" s="25" t="n">
        <v>4</v>
      </c>
      <c r="H311" s="24" t="n">
        <v>2.2</v>
      </c>
      <c r="I311" s="25" t="n">
        <v>9</v>
      </c>
      <c r="J311" s="24" t="n">
        <v>2.3</v>
      </c>
      <c r="K311" s="26" t="n">
        <f aca="false">MAX(0,MIN(Instellingen!$B$8*MIN(F311,Instellingen!$B$4*G311),MIN(H311,Instellingen!$B$4*I311)/Instellingen!$B$8))</f>
        <v>2.31900361745681</v>
      </c>
      <c r="L311" s="26" t="str">
        <f aca="false">IF($E311="Winter",$K311,"")</f>
        <v/>
      </c>
      <c r="M311" s="26" t="str">
        <f aca="false">IF($E311="Lente",$K311,"")</f>
        <v/>
      </c>
      <c r="N311" s="26" t="n">
        <f aca="false">IF($E311="Zomer",$K311,"")</f>
        <v>2.31900361745681</v>
      </c>
      <c r="O311" s="26" t="str">
        <f aca="false">IF($E311="Herfst",$K311,"")</f>
        <v/>
      </c>
    </row>
    <row r="312" customFormat="false" ht="15" hidden="false" customHeight="true" outlineLevel="0" collapsed="false">
      <c r="A312" s="23" t="n">
        <v>46208</v>
      </c>
      <c r="B312" s="24" t="n">
        <v>5.4</v>
      </c>
      <c r="C312" s="24" t="n">
        <v>16.62</v>
      </c>
      <c r="D312" s="24" t="n">
        <v>3.43</v>
      </c>
      <c r="E312" s="24" t="s">
        <v>24</v>
      </c>
      <c r="F312" s="24" t="n">
        <v>16.62</v>
      </c>
      <c r="G312" s="25" t="n">
        <v>14</v>
      </c>
      <c r="H312" s="24" t="n">
        <v>4.02</v>
      </c>
      <c r="I312" s="25" t="n">
        <v>11</v>
      </c>
      <c r="J312" s="24" t="n">
        <v>4.19</v>
      </c>
      <c r="K312" s="26" t="n">
        <f aca="false">MAX(0,MIN(Instellingen!$B$8*MIN(F312,Instellingen!$B$4*G312),MIN(H312,Instellingen!$B$4*I312)/Instellingen!$B$8))</f>
        <v>4.23745206462563</v>
      </c>
      <c r="L312" s="26" t="str">
        <f aca="false">IF($E312="Winter",$K312,"")</f>
        <v/>
      </c>
      <c r="M312" s="26" t="str">
        <f aca="false">IF($E312="Lente",$K312,"")</f>
        <v/>
      </c>
      <c r="N312" s="26" t="n">
        <f aca="false">IF($E312="Zomer",$K312,"")</f>
        <v>4.23745206462563</v>
      </c>
      <c r="O312" s="26" t="str">
        <f aca="false">IF($E312="Herfst",$K312,"")</f>
        <v/>
      </c>
    </row>
    <row r="313" customFormat="false" ht="15" hidden="false" customHeight="true" outlineLevel="0" collapsed="false">
      <c r="A313" s="23" t="n">
        <v>46209</v>
      </c>
      <c r="B313" s="24" t="n">
        <v>7.54</v>
      </c>
      <c r="C313" s="24" t="n">
        <v>28.83</v>
      </c>
      <c r="D313" s="24" t="n">
        <v>4.59</v>
      </c>
      <c r="E313" s="24" t="s">
        <v>24</v>
      </c>
      <c r="F313" s="24" t="n">
        <v>28.83</v>
      </c>
      <c r="G313" s="25" t="n">
        <v>14</v>
      </c>
      <c r="H313" s="24" t="n">
        <v>4.12</v>
      </c>
      <c r="I313" s="25" t="n">
        <v>9</v>
      </c>
      <c r="J313" s="24" t="n">
        <v>4.3</v>
      </c>
      <c r="K313" s="26" t="n">
        <f aca="false">MAX(0,MIN(Instellingen!$B$8*MIN(F313,Instellingen!$B$4*G313),MIN(H313,Instellingen!$B$4*I313)/Instellingen!$B$8))</f>
        <v>4.34286131996458</v>
      </c>
      <c r="L313" s="26" t="str">
        <f aca="false">IF($E313="Winter",$K313,"")</f>
        <v/>
      </c>
      <c r="M313" s="26" t="str">
        <f aca="false">IF($E313="Lente",$K313,"")</f>
        <v/>
      </c>
      <c r="N313" s="26" t="n">
        <f aca="false">IF($E313="Zomer",$K313,"")</f>
        <v>4.34286131996458</v>
      </c>
      <c r="O313" s="26" t="str">
        <f aca="false">IF($E313="Herfst",$K313,"")</f>
        <v/>
      </c>
    </row>
    <row r="314" customFormat="false" ht="15" hidden="false" customHeight="true" outlineLevel="0" collapsed="false">
      <c r="A314" s="23" t="n">
        <v>46210</v>
      </c>
      <c r="B314" s="24" t="n">
        <v>5.52</v>
      </c>
      <c r="C314" s="24" t="n">
        <v>27.02</v>
      </c>
      <c r="D314" s="24" t="n">
        <v>2.93</v>
      </c>
      <c r="E314" s="24" t="s">
        <v>24</v>
      </c>
      <c r="F314" s="24" t="n">
        <v>27.02</v>
      </c>
      <c r="G314" s="25" t="n">
        <v>16</v>
      </c>
      <c r="H314" s="24" t="n">
        <v>3.57</v>
      </c>
      <c r="I314" s="25" t="n">
        <v>9</v>
      </c>
      <c r="J314" s="24" t="n">
        <v>3.72</v>
      </c>
      <c r="K314" s="26" t="n">
        <f aca="false">MAX(0,MIN(Instellingen!$B$8*MIN(F314,Instellingen!$B$4*G314),MIN(H314,Instellingen!$B$4*I314)/Instellingen!$B$8))</f>
        <v>3.76311041560037</v>
      </c>
      <c r="L314" s="26" t="str">
        <f aca="false">IF($E314="Winter",$K314,"")</f>
        <v/>
      </c>
      <c r="M314" s="26" t="str">
        <f aca="false">IF($E314="Lente",$K314,"")</f>
        <v/>
      </c>
      <c r="N314" s="26" t="n">
        <f aca="false">IF($E314="Zomer",$K314,"")</f>
        <v>3.76311041560037</v>
      </c>
      <c r="O314" s="26" t="str">
        <f aca="false">IF($E314="Herfst",$K314,"")</f>
        <v/>
      </c>
    </row>
    <row r="315" customFormat="false" ht="15" hidden="false" customHeight="true" outlineLevel="0" collapsed="false">
      <c r="A315" s="23" t="n">
        <v>46211</v>
      </c>
      <c r="B315" s="24" t="n">
        <v>6.35</v>
      </c>
      <c r="C315" s="24" t="n">
        <v>7.02</v>
      </c>
      <c r="D315" s="24" t="n">
        <v>5.57</v>
      </c>
      <c r="E315" s="24" t="s">
        <v>24</v>
      </c>
      <c r="F315" s="24" t="n">
        <v>7.02</v>
      </c>
      <c r="G315" s="25" t="n">
        <v>13</v>
      </c>
      <c r="H315" s="24" t="n">
        <v>5.25</v>
      </c>
      <c r="I315" s="25" t="n">
        <v>10</v>
      </c>
      <c r="J315" s="24" t="n">
        <v>5.47</v>
      </c>
      <c r="K315" s="26" t="n">
        <f aca="false">MAX(0,MIN(Instellingen!$B$8*MIN(F315,Instellingen!$B$4*G315),MIN(H315,Instellingen!$B$4*I315)/Instellingen!$B$8))</f>
        <v>5.53398590529466</v>
      </c>
      <c r="L315" s="26" t="str">
        <f aca="false">IF($E315="Winter",$K315,"")</f>
        <v/>
      </c>
      <c r="M315" s="26" t="str">
        <f aca="false">IF($E315="Lente",$K315,"")</f>
        <v/>
      </c>
      <c r="N315" s="26" t="n">
        <f aca="false">IF($E315="Zomer",$K315,"")</f>
        <v>5.53398590529466</v>
      </c>
      <c r="O315" s="26" t="str">
        <f aca="false">IF($E315="Herfst",$K315,"")</f>
        <v/>
      </c>
    </row>
    <row r="316" customFormat="false" ht="15" hidden="false" customHeight="true" outlineLevel="0" collapsed="false">
      <c r="A316" s="23" t="n">
        <v>46212</v>
      </c>
      <c r="B316" s="24" t="n">
        <v>4.31</v>
      </c>
      <c r="C316" s="24" t="n">
        <v>37.19</v>
      </c>
      <c r="D316" s="24" t="n">
        <v>3.99</v>
      </c>
      <c r="E316" s="24" t="s">
        <v>24</v>
      </c>
      <c r="F316" s="24" t="n">
        <v>37.19</v>
      </c>
      <c r="G316" s="25" t="n">
        <v>15</v>
      </c>
      <c r="H316" s="24" t="n">
        <v>4.05</v>
      </c>
      <c r="I316" s="25" t="n">
        <v>9</v>
      </c>
      <c r="J316" s="24" t="n">
        <v>4.22</v>
      </c>
      <c r="K316" s="26" t="n">
        <f aca="false">MAX(0,MIN(Instellingen!$B$8*MIN(F316,Instellingen!$B$4*G316),MIN(H316,Instellingen!$B$4*I316)/Instellingen!$B$8))</f>
        <v>4.26907484122731</v>
      </c>
      <c r="L316" s="26" t="str">
        <f aca="false">IF($E316="Winter",$K316,"")</f>
        <v/>
      </c>
      <c r="M316" s="26" t="str">
        <f aca="false">IF($E316="Lente",$K316,"")</f>
        <v/>
      </c>
      <c r="N316" s="26" t="n">
        <f aca="false">IF($E316="Zomer",$K316,"")</f>
        <v>4.26907484122731</v>
      </c>
      <c r="O316" s="26" t="str">
        <f aca="false">IF($E316="Herfst",$K316,"")</f>
        <v/>
      </c>
    </row>
    <row r="317" customFormat="false" ht="15" hidden="false" customHeight="true" outlineLevel="0" collapsed="false">
      <c r="A317" s="23" t="n">
        <v>46213</v>
      </c>
      <c r="B317" s="24" t="n">
        <v>3.66</v>
      </c>
      <c r="C317" s="24" t="n">
        <v>30.52</v>
      </c>
      <c r="D317" s="24" t="n">
        <v>3.47</v>
      </c>
      <c r="E317" s="24" t="s">
        <v>24</v>
      </c>
      <c r="F317" s="24" t="n">
        <v>30.52</v>
      </c>
      <c r="G317" s="25" t="n">
        <v>15</v>
      </c>
      <c r="H317" s="24" t="n">
        <v>3.24</v>
      </c>
      <c r="I317" s="25" t="n">
        <v>10</v>
      </c>
      <c r="J317" s="24" t="n">
        <v>3.38</v>
      </c>
      <c r="K317" s="26" t="n">
        <f aca="false">MAX(0,MIN(Instellingen!$B$8*MIN(F317,Instellingen!$B$4*G317),MIN(H317,Instellingen!$B$4*I317)/Instellingen!$B$8))</f>
        <v>3.41525987298185</v>
      </c>
      <c r="L317" s="26" t="str">
        <f aca="false">IF($E317="Winter",$K317,"")</f>
        <v/>
      </c>
      <c r="M317" s="26" t="str">
        <f aca="false">IF($E317="Lente",$K317,"")</f>
        <v/>
      </c>
      <c r="N317" s="26" t="n">
        <f aca="false">IF($E317="Zomer",$K317,"")</f>
        <v>3.41525987298185</v>
      </c>
      <c r="O317" s="26" t="str">
        <f aca="false">IF($E317="Herfst",$K317,"")</f>
        <v/>
      </c>
    </row>
    <row r="318" customFormat="false" ht="15" hidden="false" customHeight="true" outlineLevel="0" collapsed="false">
      <c r="A318" s="23" t="n">
        <v>46214</v>
      </c>
      <c r="B318" s="24" t="n">
        <v>7.3</v>
      </c>
      <c r="C318" s="24" t="n">
        <v>27.08</v>
      </c>
      <c r="D318" s="24" t="n">
        <v>6.6</v>
      </c>
      <c r="E318" s="24" t="s">
        <v>24</v>
      </c>
      <c r="F318" s="24" t="n">
        <v>27.08</v>
      </c>
      <c r="G318" s="25" t="n">
        <v>13</v>
      </c>
      <c r="H318" s="24" t="n">
        <v>7.14</v>
      </c>
      <c r="I318" s="25" t="n">
        <v>10</v>
      </c>
      <c r="J318" s="24" t="n">
        <v>7.45</v>
      </c>
      <c r="K318" s="26" t="n">
        <f aca="false">MAX(0,MIN(Instellingen!$B$8*MIN(F318,Instellingen!$B$4*G318),MIN(H318,Instellingen!$B$4*I318)/Instellingen!$B$8))</f>
        <v>7.52622083120074</v>
      </c>
      <c r="L318" s="26" t="str">
        <f aca="false">IF($E318="Winter",$K318,"")</f>
        <v/>
      </c>
      <c r="M318" s="26" t="str">
        <f aca="false">IF($E318="Lente",$K318,"")</f>
        <v/>
      </c>
      <c r="N318" s="26" t="n">
        <f aca="false">IF($E318="Zomer",$K318,"")</f>
        <v>7.52622083120074</v>
      </c>
      <c r="O318" s="26" t="str">
        <f aca="false">IF($E318="Herfst",$K318,"")</f>
        <v/>
      </c>
    </row>
    <row r="319" customFormat="false" ht="15" hidden="false" customHeight="true" outlineLevel="0" collapsed="false">
      <c r="A319" s="23" t="n">
        <v>46215</v>
      </c>
      <c r="B319" s="24" t="n">
        <v>4.73</v>
      </c>
      <c r="C319" s="24" t="n">
        <v>34.16</v>
      </c>
      <c r="D319" s="24" t="n">
        <v>4.59</v>
      </c>
      <c r="E319" s="24" t="s">
        <v>24</v>
      </c>
      <c r="F319" s="24" t="n">
        <v>34.16</v>
      </c>
      <c r="G319" s="25" t="n">
        <v>15</v>
      </c>
      <c r="H319" s="24" t="n">
        <v>5.64</v>
      </c>
      <c r="I319" s="25" t="n">
        <v>9</v>
      </c>
      <c r="J319" s="24" t="n">
        <v>5.88</v>
      </c>
      <c r="K319" s="26" t="n">
        <f aca="false">MAX(0,MIN(Instellingen!$B$8*MIN(F319,Instellingen!$B$4*G319),MIN(H319,Instellingen!$B$4*I319)/Instellingen!$B$8))</f>
        <v>5.94508200111655</v>
      </c>
      <c r="L319" s="26" t="str">
        <f aca="false">IF($E319="Winter",$K319,"")</f>
        <v/>
      </c>
      <c r="M319" s="26" t="str">
        <f aca="false">IF($E319="Lente",$K319,"")</f>
        <v/>
      </c>
      <c r="N319" s="26" t="n">
        <f aca="false">IF($E319="Zomer",$K319,"")</f>
        <v>5.94508200111655</v>
      </c>
      <c r="O319" s="26" t="str">
        <f aca="false">IF($E319="Herfst",$K319,"")</f>
        <v/>
      </c>
    </row>
    <row r="320" customFormat="false" ht="15" hidden="false" customHeight="true" outlineLevel="0" collapsed="false">
      <c r="A320" s="23" t="n">
        <v>46216</v>
      </c>
      <c r="B320" s="24" t="n">
        <v>7.61</v>
      </c>
      <c r="C320" s="24" t="n">
        <v>21.22</v>
      </c>
      <c r="D320" s="24" t="n">
        <v>6.28</v>
      </c>
      <c r="E320" s="24" t="s">
        <v>24</v>
      </c>
      <c r="F320" s="24" t="n">
        <v>21.22</v>
      </c>
      <c r="G320" s="25" t="n">
        <v>15</v>
      </c>
      <c r="H320" s="24" t="n">
        <v>4.55</v>
      </c>
      <c r="I320" s="25" t="n">
        <v>9</v>
      </c>
      <c r="J320" s="24" t="n">
        <v>4.75</v>
      </c>
      <c r="K320" s="26" t="n">
        <f aca="false">MAX(0,MIN(Instellingen!$B$8*MIN(F320,Instellingen!$B$4*G320),MIN(H320,Instellingen!$B$4*I320)/Instellingen!$B$8))</f>
        <v>4.79612111792204</v>
      </c>
      <c r="L320" s="26" t="str">
        <f aca="false">IF($E320="Winter",$K320,"")</f>
        <v/>
      </c>
      <c r="M320" s="26" t="str">
        <f aca="false">IF($E320="Lente",$K320,"")</f>
        <v/>
      </c>
      <c r="N320" s="26" t="n">
        <f aca="false">IF($E320="Zomer",$K320,"")</f>
        <v>4.79612111792204</v>
      </c>
      <c r="O320" s="26" t="str">
        <f aca="false">IF($E320="Herfst",$K320,"")</f>
        <v/>
      </c>
    </row>
    <row r="321" customFormat="false" ht="15" hidden="false" customHeight="true" outlineLevel="0" collapsed="false">
      <c r="A321" s="23" t="n">
        <v>46217</v>
      </c>
      <c r="B321" s="24" t="n">
        <v>6.65</v>
      </c>
      <c r="C321" s="24" t="n">
        <v>22.82</v>
      </c>
      <c r="D321" s="24" t="n">
        <v>4.5</v>
      </c>
      <c r="E321" s="24" t="s">
        <v>24</v>
      </c>
      <c r="F321" s="24" t="n">
        <v>22.82</v>
      </c>
      <c r="G321" s="25" t="n">
        <v>15</v>
      </c>
      <c r="H321" s="24" t="n">
        <v>4.27</v>
      </c>
      <c r="I321" s="25" t="n">
        <v>9</v>
      </c>
      <c r="J321" s="24" t="n">
        <v>4.46</v>
      </c>
      <c r="K321" s="26" t="n">
        <f aca="false">MAX(0,MIN(Instellingen!$B$8*MIN(F321,Instellingen!$B$4*G321),MIN(H321,Instellingen!$B$4*I321)/Instellingen!$B$8))</f>
        <v>4.50097520297299</v>
      </c>
      <c r="L321" s="26" t="str">
        <f aca="false">IF($E321="Winter",$K321,"")</f>
        <v/>
      </c>
      <c r="M321" s="26" t="str">
        <f aca="false">IF($E321="Lente",$K321,"")</f>
        <v/>
      </c>
      <c r="N321" s="26" t="n">
        <f aca="false">IF($E321="Zomer",$K321,"")</f>
        <v>4.50097520297299</v>
      </c>
      <c r="O321" s="26" t="str">
        <f aca="false">IF($E321="Herfst",$K321,"")</f>
        <v/>
      </c>
    </row>
    <row r="322" customFormat="false" ht="15" hidden="false" customHeight="true" outlineLevel="0" collapsed="false">
      <c r="A322" s="23" t="n">
        <v>46218</v>
      </c>
      <c r="B322" s="24" t="n">
        <v>7.9</v>
      </c>
      <c r="C322" s="24" t="n">
        <v>14.85</v>
      </c>
      <c r="D322" s="24" t="n">
        <v>5.53</v>
      </c>
      <c r="E322" s="24" t="s">
        <v>24</v>
      </c>
      <c r="F322" s="24" t="n">
        <v>14.85</v>
      </c>
      <c r="G322" s="25" t="n">
        <v>14</v>
      </c>
      <c r="H322" s="24" t="n">
        <v>5.98</v>
      </c>
      <c r="I322" s="25" t="n">
        <v>10</v>
      </c>
      <c r="J322" s="24" t="n">
        <v>6.24</v>
      </c>
      <c r="K322" s="26" t="n">
        <f aca="false">MAX(0,MIN(Instellingen!$B$8*MIN(F322,Instellingen!$B$4*G322),MIN(H322,Instellingen!$B$4*I322)/Instellingen!$B$8))</f>
        <v>6.30347346926897</v>
      </c>
      <c r="L322" s="26" t="str">
        <f aca="false">IF($E322="Winter",$K322,"")</f>
        <v/>
      </c>
      <c r="M322" s="26" t="str">
        <f aca="false">IF($E322="Lente",$K322,"")</f>
        <v/>
      </c>
      <c r="N322" s="26" t="n">
        <f aca="false">IF($E322="Zomer",$K322,"")</f>
        <v>6.30347346926897</v>
      </c>
      <c r="O322" s="26" t="str">
        <f aca="false">IF($E322="Herfst",$K322,"")</f>
        <v/>
      </c>
    </row>
    <row r="323" customFormat="false" ht="15" hidden="false" customHeight="true" outlineLevel="0" collapsed="false">
      <c r="A323" s="23" t="n">
        <v>46219</v>
      </c>
      <c r="B323" s="24" t="n">
        <v>4.32</v>
      </c>
      <c r="C323" s="24" t="n">
        <v>23.81</v>
      </c>
      <c r="D323" s="24" t="n">
        <v>3.7</v>
      </c>
      <c r="E323" s="24" t="s">
        <v>24</v>
      </c>
      <c r="F323" s="24" t="n">
        <v>23.82</v>
      </c>
      <c r="G323" s="25" t="n">
        <v>15</v>
      </c>
      <c r="H323" s="24" t="n">
        <v>3.85</v>
      </c>
      <c r="I323" s="25" t="n">
        <v>10</v>
      </c>
      <c r="J323" s="24" t="n">
        <v>4.01</v>
      </c>
      <c r="K323" s="26" t="n">
        <f aca="false">MAX(0,MIN(Instellingen!$B$8*MIN(F323,Instellingen!$B$4*G323),MIN(H323,Instellingen!$B$4*I323)/Instellingen!$B$8))</f>
        <v>4.05825633054942</v>
      </c>
      <c r="L323" s="26" t="str">
        <f aca="false">IF($E323="Winter",$K323,"")</f>
        <v/>
      </c>
      <c r="M323" s="26" t="str">
        <f aca="false">IF($E323="Lente",$K323,"")</f>
        <v/>
      </c>
      <c r="N323" s="26" t="n">
        <f aca="false">IF($E323="Zomer",$K323,"")</f>
        <v>4.05825633054942</v>
      </c>
      <c r="O323" s="26" t="str">
        <f aca="false">IF($E323="Herfst",$K323,"")</f>
        <v/>
      </c>
    </row>
    <row r="324" customFormat="false" ht="15" hidden="false" customHeight="true" outlineLevel="0" collapsed="false">
      <c r="A324" s="23" t="n">
        <v>46220</v>
      </c>
      <c r="B324" s="24" t="n">
        <v>7.52</v>
      </c>
      <c r="C324" s="24" t="n">
        <v>21.49</v>
      </c>
      <c r="D324" s="24" t="n">
        <v>4.93</v>
      </c>
      <c r="E324" s="24" t="s">
        <v>24</v>
      </c>
      <c r="F324" s="24" t="n">
        <v>21.48</v>
      </c>
      <c r="G324" s="25" t="n">
        <v>14</v>
      </c>
      <c r="H324" s="24" t="n">
        <v>7.18</v>
      </c>
      <c r="I324" s="25" t="n">
        <v>11</v>
      </c>
      <c r="J324" s="24" t="n">
        <v>7.5</v>
      </c>
      <c r="K324" s="26" t="n">
        <f aca="false">MAX(0,MIN(Instellingen!$B$8*MIN(F324,Instellingen!$B$4*G324),MIN(H324,Instellingen!$B$4*I324)/Instellingen!$B$8))</f>
        <v>7.56838453333632</v>
      </c>
      <c r="L324" s="26" t="str">
        <f aca="false">IF($E324="Winter",$K324,"")</f>
        <v/>
      </c>
      <c r="M324" s="26" t="str">
        <f aca="false">IF($E324="Lente",$K324,"")</f>
        <v/>
      </c>
      <c r="N324" s="26" t="n">
        <f aca="false">IF($E324="Zomer",$K324,"")</f>
        <v>7.56838453333632</v>
      </c>
      <c r="O324" s="26" t="str">
        <f aca="false">IF($E324="Herfst",$K324,"")</f>
        <v/>
      </c>
    </row>
    <row r="325" customFormat="false" ht="15" hidden="false" customHeight="true" outlineLevel="0" collapsed="false">
      <c r="A325" s="23" t="n">
        <v>46221</v>
      </c>
      <c r="B325" s="24" t="n">
        <v>9.83</v>
      </c>
      <c r="C325" s="24" t="n">
        <v>8.08</v>
      </c>
      <c r="D325" s="24" t="n">
        <v>5.72</v>
      </c>
      <c r="E325" s="24" t="s">
        <v>24</v>
      </c>
      <c r="F325" s="24" t="n">
        <v>8.08</v>
      </c>
      <c r="G325" s="25" t="n">
        <v>14</v>
      </c>
      <c r="H325" s="24" t="n">
        <v>3.21</v>
      </c>
      <c r="I325" s="25" t="n">
        <v>8</v>
      </c>
      <c r="J325" s="24" t="n">
        <v>3.35</v>
      </c>
      <c r="K325" s="26" t="n">
        <f aca="false">MAX(0,MIN(Instellingen!$B$8*MIN(F325,Instellingen!$B$4*G325),MIN(H325,Instellingen!$B$4*I325)/Instellingen!$B$8))</f>
        <v>3.38363709638017</v>
      </c>
      <c r="L325" s="26" t="str">
        <f aca="false">IF($E325="Winter",$K325,"")</f>
        <v/>
      </c>
      <c r="M325" s="26" t="str">
        <f aca="false">IF($E325="Lente",$K325,"")</f>
        <v/>
      </c>
      <c r="N325" s="26" t="n">
        <f aca="false">IF($E325="Zomer",$K325,"")</f>
        <v>3.38363709638017</v>
      </c>
      <c r="O325" s="26" t="str">
        <f aca="false">IF($E325="Herfst",$K325,"")</f>
        <v/>
      </c>
    </row>
    <row r="326" customFormat="false" ht="15" hidden="false" customHeight="true" outlineLevel="0" collapsed="false">
      <c r="A326" s="23" t="n">
        <v>46222</v>
      </c>
      <c r="B326" s="24" t="n">
        <v>3.2</v>
      </c>
      <c r="C326" s="24" t="n">
        <v>31.01</v>
      </c>
      <c r="D326" s="24" t="n">
        <v>2.63</v>
      </c>
      <c r="E326" s="24" t="s">
        <v>24</v>
      </c>
      <c r="F326" s="24" t="n">
        <v>31.01</v>
      </c>
      <c r="G326" s="25" t="n">
        <v>14</v>
      </c>
      <c r="H326" s="24" t="n">
        <v>2.49</v>
      </c>
      <c r="I326" s="25" t="n">
        <v>11</v>
      </c>
      <c r="J326" s="24" t="n">
        <v>2.6</v>
      </c>
      <c r="K326" s="26" t="n">
        <f aca="false">MAX(0,MIN(Instellingen!$B$8*MIN(F326,Instellingen!$B$4*G326),MIN(H326,Instellingen!$B$4*I326)/Instellingen!$B$8))</f>
        <v>2.62469045793976</v>
      </c>
      <c r="L326" s="26" t="str">
        <f aca="false">IF($E326="Winter",$K326,"")</f>
        <v/>
      </c>
      <c r="M326" s="26" t="str">
        <f aca="false">IF($E326="Lente",$K326,"")</f>
        <v/>
      </c>
      <c r="N326" s="26" t="n">
        <f aca="false">IF($E326="Zomer",$K326,"")</f>
        <v>2.62469045793976</v>
      </c>
      <c r="O326" s="26" t="str">
        <f aca="false">IF($E326="Herfst",$K326,"")</f>
        <v/>
      </c>
    </row>
    <row r="327" customFormat="false" ht="15" hidden="false" customHeight="true" outlineLevel="0" collapsed="false">
      <c r="A327" s="23" t="n">
        <v>46223</v>
      </c>
      <c r="B327" s="24" t="n">
        <v>4.28</v>
      </c>
      <c r="C327" s="24" t="n">
        <v>30.31</v>
      </c>
      <c r="D327" s="24" t="n">
        <v>3.87</v>
      </c>
      <c r="E327" s="24" t="s">
        <v>24</v>
      </c>
      <c r="F327" s="24" t="n">
        <v>30.3</v>
      </c>
      <c r="G327" s="25" t="n">
        <v>14</v>
      </c>
      <c r="H327" s="24" t="n">
        <v>3.96</v>
      </c>
      <c r="I327" s="25" t="n">
        <v>9</v>
      </c>
      <c r="J327" s="24" t="n">
        <v>4.13</v>
      </c>
      <c r="K327" s="26" t="n">
        <f aca="false">MAX(0,MIN(Instellingen!$B$8*MIN(F327,Instellingen!$B$4*G327),MIN(H327,Instellingen!$B$4*I327)/Instellingen!$B$8))</f>
        <v>4.17420651142226</v>
      </c>
      <c r="L327" s="26" t="str">
        <f aca="false">IF($E327="Winter",$K327,"")</f>
        <v/>
      </c>
      <c r="M327" s="26" t="str">
        <f aca="false">IF($E327="Lente",$K327,"")</f>
        <v/>
      </c>
      <c r="N327" s="26" t="n">
        <f aca="false">IF($E327="Zomer",$K327,"")</f>
        <v>4.17420651142226</v>
      </c>
      <c r="O327" s="26" t="str">
        <f aca="false">IF($E327="Herfst",$K327,"")</f>
        <v/>
      </c>
    </row>
    <row r="328" customFormat="false" ht="15" hidden="false" customHeight="true" outlineLevel="0" collapsed="false">
      <c r="A328" s="23" t="n">
        <v>46224</v>
      </c>
      <c r="B328" s="24" t="n">
        <v>6.81</v>
      </c>
      <c r="C328" s="24" t="n">
        <v>28.67</v>
      </c>
      <c r="D328" s="24" t="n">
        <v>2.83</v>
      </c>
      <c r="E328" s="24" t="s">
        <v>24</v>
      </c>
      <c r="F328" s="24" t="n">
        <v>28.67</v>
      </c>
      <c r="G328" s="25" t="n">
        <v>15</v>
      </c>
      <c r="H328" s="24" t="n">
        <v>2.59</v>
      </c>
      <c r="I328" s="25" t="n">
        <v>9</v>
      </c>
      <c r="J328" s="24" t="n">
        <v>2.71</v>
      </c>
      <c r="K328" s="26" t="n">
        <f aca="false">MAX(0,MIN(Instellingen!$B$8*MIN(F328,Instellingen!$B$4*G328),MIN(H328,Instellingen!$B$4*I328)/Instellingen!$B$8))</f>
        <v>2.7300997132787</v>
      </c>
      <c r="L328" s="26" t="str">
        <f aca="false">IF($E328="Winter",$K328,"")</f>
        <v/>
      </c>
      <c r="M328" s="26" t="str">
        <f aca="false">IF($E328="Lente",$K328,"")</f>
        <v/>
      </c>
      <c r="N328" s="26" t="n">
        <f aca="false">IF($E328="Zomer",$K328,"")</f>
        <v>2.7300997132787</v>
      </c>
      <c r="O328" s="26" t="str">
        <f aca="false">IF($E328="Herfst",$K328,"")</f>
        <v/>
      </c>
    </row>
    <row r="329" customFormat="false" ht="15" hidden="false" customHeight="true" outlineLevel="0" collapsed="false">
      <c r="A329" s="23" t="n">
        <v>46225</v>
      </c>
      <c r="B329" s="24" t="n">
        <v>6.83</v>
      </c>
      <c r="C329" s="24" t="n">
        <v>14.01</v>
      </c>
      <c r="D329" s="24" t="n">
        <v>4.95</v>
      </c>
      <c r="E329" s="24" t="s">
        <v>24</v>
      </c>
      <c r="F329" s="24" t="n">
        <v>14.01</v>
      </c>
      <c r="G329" s="25" t="n">
        <v>13</v>
      </c>
      <c r="H329" s="24" t="n">
        <v>4.89</v>
      </c>
      <c r="I329" s="25" t="n">
        <v>11</v>
      </c>
      <c r="J329" s="24" t="n">
        <v>5.1</v>
      </c>
      <c r="K329" s="26" t="n">
        <f aca="false">MAX(0,MIN(Instellingen!$B$8*MIN(F329,Instellingen!$B$4*G329),MIN(H329,Instellingen!$B$4*I329)/Instellingen!$B$8))</f>
        <v>5.15451258607446</v>
      </c>
      <c r="L329" s="26" t="str">
        <f aca="false">IF($E329="Winter",$K329,"")</f>
        <v/>
      </c>
      <c r="M329" s="26" t="str">
        <f aca="false">IF($E329="Lente",$K329,"")</f>
        <v/>
      </c>
      <c r="N329" s="26" t="n">
        <f aca="false">IF($E329="Zomer",$K329,"")</f>
        <v>5.15451258607446</v>
      </c>
      <c r="O329" s="26" t="str">
        <f aca="false">IF($E329="Herfst",$K329,"")</f>
        <v/>
      </c>
    </row>
    <row r="330" customFormat="false" ht="15" hidden="false" customHeight="true" outlineLevel="0" collapsed="false">
      <c r="A330" s="23" t="n">
        <v>46226</v>
      </c>
      <c r="B330" s="24" t="n">
        <v>5.14</v>
      </c>
      <c r="C330" s="24" t="n">
        <v>20.83</v>
      </c>
      <c r="D330" s="24" t="n">
        <v>4.17</v>
      </c>
      <c r="E330" s="24" t="s">
        <v>24</v>
      </c>
      <c r="F330" s="24" t="n">
        <v>20.84</v>
      </c>
      <c r="G330" s="25" t="n">
        <v>11</v>
      </c>
      <c r="H330" s="24" t="n">
        <v>4.37</v>
      </c>
      <c r="I330" s="25" t="n">
        <v>15</v>
      </c>
      <c r="J330" s="24" t="n">
        <v>4.55</v>
      </c>
      <c r="K330" s="26" t="n">
        <f aca="false">MAX(0,MIN(Instellingen!$B$8*MIN(F330,Instellingen!$B$4*G330),MIN(H330,Instellingen!$B$4*I330)/Instellingen!$B$8))</f>
        <v>4.60638445831194</v>
      </c>
      <c r="L330" s="26" t="str">
        <f aca="false">IF($E330="Winter",$K330,"")</f>
        <v/>
      </c>
      <c r="M330" s="26" t="str">
        <f aca="false">IF($E330="Lente",$K330,"")</f>
        <v/>
      </c>
      <c r="N330" s="26" t="n">
        <f aca="false">IF($E330="Zomer",$K330,"")</f>
        <v>4.60638445831194</v>
      </c>
      <c r="O330" s="26" t="str">
        <f aca="false">IF($E330="Herfst",$K330,"")</f>
        <v/>
      </c>
    </row>
    <row r="331" customFormat="false" ht="15" hidden="false" customHeight="true" outlineLevel="0" collapsed="false">
      <c r="A331" s="23" t="n">
        <v>46227</v>
      </c>
      <c r="B331" s="24" t="n">
        <v>5.29</v>
      </c>
      <c r="C331" s="24" t="n">
        <v>14.58</v>
      </c>
      <c r="D331" s="24" t="n">
        <v>3.64</v>
      </c>
      <c r="E331" s="24" t="s">
        <v>24</v>
      </c>
      <c r="F331" s="24" t="n">
        <v>14.57</v>
      </c>
      <c r="G331" s="25" t="n">
        <v>13</v>
      </c>
      <c r="H331" s="24" t="n">
        <v>4.79</v>
      </c>
      <c r="I331" s="25" t="n">
        <v>9</v>
      </c>
      <c r="J331" s="24" t="n">
        <v>5</v>
      </c>
      <c r="K331" s="26" t="n">
        <f aca="false">MAX(0,MIN(Instellingen!$B$8*MIN(F331,Instellingen!$B$4*G331),MIN(H331,Instellingen!$B$4*I331)/Instellingen!$B$8))</f>
        <v>5.04910333073551</v>
      </c>
      <c r="L331" s="26" t="str">
        <f aca="false">IF($E331="Winter",$K331,"")</f>
        <v/>
      </c>
      <c r="M331" s="26" t="str">
        <f aca="false">IF($E331="Lente",$K331,"")</f>
        <v/>
      </c>
      <c r="N331" s="26" t="n">
        <f aca="false">IF($E331="Zomer",$K331,"")</f>
        <v>5.04910333073551</v>
      </c>
      <c r="O331" s="26" t="str">
        <f aca="false">IF($E331="Herfst",$K331,"")</f>
        <v/>
      </c>
    </row>
    <row r="332" customFormat="false" ht="15" hidden="false" customHeight="true" outlineLevel="0" collapsed="false">
      <c r="A332" s="23" t="n">
        <v>46228</v>
      </c>
      <c r="B332" s="24" t="n">
        <v>6.07</v>
      </c>
      <c r="C332" s="24" t="n">
        <v>26.64</v>
      </c>
      <c r="D332" s="24" t="n">
        <v>5.5</v>
      </c>
      <c r="E332" s="24" t="s">
        <v>24</v>
      </c>
      <c r="F332" s="24" t="n">
        <v>26.64</v>
      </c>
      <c r="G332" s="25" t="n">
        <v>15</v>
      </c>
      <c r="H332" s="24" t="n">
        <v>7.38</v>
      </c>
      <c r="I332" s="25" t="n">
        <v>10</v>
      </c>
      <c r="J332" s="24" t="n">
        <v>7.7</v>
      </c>
      <c r="K332" s="26" t="n">
        <f aca="false">MAX(0,MIN(Instellingen!$B$8*MIN(F332,Instellingen!$B$4*G332),MIN(H332,Instellingen!$B$4*I332)/Instellingen!$B$8))</f>
        <v>7.77920304401421</v>
      </c>
      <c r="L332" s="26" t="str">
        <f aca="false">IF($E332="Winter",$K332,"")</f>
        <v/>
      </c>
      <c r="M332" s="26" t="str">
        <f aca="false">IF($E332="Lente",$K332,"")</f>
        <v/>
      </c>
      <c r="N332" s="26" t="n">
        <f aca="false">IF($E332="Zomer",$K332,"")</f>
        <v>7.77920304401421</v>
      </c>
      <c r="O332" s="26" t="str">
        <f aca="false">IF($E332="Herfst",$K332,"")</f>
        <v/>
      </c>
    </row>
    <row r="333" customFormat="false" ht="15" hidden="false" customHeight="true" outlineLevel="0" collapsed="false">
      <c r="A333" s="23" t="n">
        <v>46229</v>
      </c>
      <c r="B333" s="24" t="n">
        <v>5.65</v>
      </c>
      <c r="C333" s="24" t="n">
        <v>11.67</v>
      </c>
      <c r="D333" s="24" t="n">
        <v>5.43</v>
      </c>
      <c r="E333" s="24" t="s">
        <v>24</v>
      </c>
      <c r="F333" s="24" t="n">
        <v>11.67</v>
      </c>
      <c r="G333" s="25" t="n">
        <v>13</v>
      </c>
      <c r="H333" s="24" t="n">
        <v>2.15</v>
      </c>
      <c r="I333" s="25" t="n">
        <v>10</v>
      </c>
      <c r="J333" s="24" t="n">
        <v>2.25</v>
      </c>
      <c r="K333" s="26" t="n">
        <f aca="false">MAX(0,MIN(Instellingen!$B$8*MIN(F333,Instellingen!$B$4*G333),MIN(H333,Instellingen!$B$4*I333)/Instellingen!$B$8))</f>
        <v>2.26629898978734</v>
      </c>
      <c r="L333" s="26" t="str">
        <f aca="false">IF($E333="Winter",$K333,"")</f>
        <v/>
      </c>
      <c r="M333" s="26" t="str">
        <f aca="false">IF($E333="Lente",$K333,"")</f>
        <v/>
      </c>
      <c r="N333" s="26" t="n">
        <f aca="false">IF($E333="Zomer",$K333,"")</f>
        <v>2.26629898978734</v>
      </c>
      <c r="O333" s="26" t="str">
        <f aca="false">IF($E333="Herfst",$K333,"")</f>
        <v/>
      </c>
    </row>
    <row r="334" customFormat="false" ht="15" hidden="false" customHeight="true" outlineLevel="0" collapsed="false">
      <c r="A334" s="23" t="n">
        <v>46230</v>
      </c>
      <c r="B334" s="24" t="n">
        <v>2.19</v>
      </c>
      <c r="C334" s="24" t="n">
        <v>31.44</v>
      </c>
      <c r="D334" s="24" t="n">
        <v>1.85</v>
      </c>
      <c r="E334" s="24" t="s">
        <v>24</v>
      </c>
      <c r="F334" s="24" t="n">
        <v>31.44</v>
      </c>
      <c r="G334" s="25" t="n">
        <v>16</v>
      </c>
      <c r="H334" s="24" t="n">
        <v>2.02</v>
      </c>
      <c r="I334" s="25" t="n">
        <v>8</v>
      </c>
      <c r="J334" s="24" t="n">
        <v>2.11</v>
      </c>
      <c r="K334" s="26" t="n">
        <f aca="false">MAX(0,MIN(Instellingen!$B$8*MIN(F334,Instellingen!$B$4*G334),MIN(H334,Instellingen!$B$4*I334)/Instellingen!$B$8))</f>
        <v>2.12926695784671</v>
      </c>
      <c r="L334" s="26" t="str">
        <f aca="false">IF($E334="Winter",$K334,"")</f>
        <v/>
      </c>
      <c r="M334" s="26" t="str">
        <f aca="false">IF($E334="Lente",$K334,"")</f>
        <v/>
      </c>
      <c r="N334" s="26" t="n">
        <f aca="false">IF($E334="Zomer",$K334,"")</f>
        <v>2.12926695784671</v>
      </c>
      <c r="O334" s="26" t="str">
        <f aca="false">IF($E334="Herfst",$K334,"")</f>
        <v/>
      </c>
    </row>
    <row r="335" customFormat="false" ht="15" hidden="false" customHeight="true" outlineLevel="0" collapsed="false">
      <c r="A335" s="23" t="n">
        <v>46231</v>
      </c>
      <c r="B335" s="24" t="n">
        <v>2.41</v>
      </c>
      <c r="C335" s="24" t="n">
        <v>34.66</v>
      </c>
      <c r="D335" s="24" t="n">
        <v>2.29</v>
      </c>
      <c r="E335" s="24" t="s">
        <v>24</v>
      </c>
      <c r="F335" s="24" t="n">
        <v>34.66</v>
      </c>
      <c r="G335" s="25" t="n">
        <v>15</v>
      </c>
      <c r="H335" s="24" t="n">
        <v>2.37</v>
      </c>
      <c r="I335" s="25" t="n">
        <v>9</v>
      </c>
      <c r="J335" s="24" t="n">
        <v>2.47</v>
      </c>
      <c r="K335" s="26" t="n">
        <f aca="false">MAX(0,MIN(Instellingen!$B$8*MIN(F335,Instellingen!$B$4*G335),MIN(H335,Instellingen!$B$4*I335)/Instellingen!$B$8))</f>
        <v>2.49819935153302</v>
      </c>
      <c r="L335" s="26" t="str">
        <f aca="false">IF($E335="Winter",$K335,"")</f>
        <v/>
      </c>
      <c r="M335" s="26" t="str">
        <f aca="false">IF($E335="Lente",$K335,"")</f>
        <v/>
      </c>
      <c r="N335" s="26" t="n">
        <f aca="false">IF($E335="Zomer",$K335,"")</f>
        <v>2.49819935153302</v>
      </c>
      <c r="O335" s="26" t="str">
        <f aca="false">IF($E335="Herfst",$K335,"")</f>
        <v/>
      </c>
    </row>
    <row r="336" customFormat="false" ht="15" hidden="false" customHeight="true" outlineLevel="0" collapsed="false">
      <c r="A336" s="23" t="n">
        <v>46232</v>
      </c>
      <c r="B336" s="24" t="n">
        <v>2.72</v>
      </c>
      <c r="C336" s="24" t="n">
        <v>35.92</v>
      </c>
      <c r="D336" s="24" t="n">
        <v>2.35</v>
      </c>
      <c r="E336" s="24" t="s">
        <v>24</v>
      </c>
      <c r="F336" s="24" t="n">
        <v>35.92</v>
      </c>
      <c r="G336" s="25" t="n">
        <v>15</v>
      </c>
      <c r="H336" s="24" t="n">
        <v>2.3</v>
      </c>
      <c r="I336" s="25" t="n">
        <v>9</v>
      </c>
      <c r="J336" s="24" t="n">
        <v>2.4</v>
      </c>
      <c r="K336" s="26" t="n">
        <f aca="false">MAX(0,MIN(Instellingen!$B$8*MIN(F336,Instellingen!$B$4*G336),MIN(H336,Instellingen!$B$4*I336)/Instellingen!$B$8))</f>
        <v>2.42441287279576</v>
      </c>
      <c r="L336" s="26" t="str">
        <f aca="false">IF($E336="Winter",$K336,"")</f>
        <v/>
      </c>
      <c r="M336" s="26" t="str">
        <f aca="false">IF($E336="Lente",$K336,"")</f>
        <v/>
      </c>
      <c r="N336" s="26" t="n">
        <f aca="false">IF($E336="Zomer",$K336,"")</f>
        <v>2.42441287279576</v>
      </c>
      <c r="O336" s="26" t="str">
        <f aca="false">IF($E336="Herfst",$K336,"")</f>
        <v/>
      </c>
    </row>
    <row r="337" customFormat="false" ht="15" hidden="false" customHeight="true" outlineLevel="0" collapsed="false">
      <c r="A337" s="23" t="n">
        <v>46233</v>
      </c>
      <c r="B337" s="24" t="n">
        <v>2.53</v>
      </c>
      <c r="C337" s="24" t="n">
        <v>20.43</v>
      </c>
      <c r="D337" s="24" t="n">
        <v>2.3</v>
      </c>
      <c r="E337" s="24" t="s">
        <v>24</v>
      </c>
      <c r="F337" s="24" t="n">
        <v>20.43</v>
      </c>
      <c r="G337" s="25" t="n">
        <v>15</v>
      </c>
      <c r="H337" s="24" t="n">
        <v>2.26</v>
      </c>
      <c r="I337" s="25" t="n">
        <v>9</v>
      </c>
      <c r="J337" s="24" t="n">
        <v>2.36</v>
      </c>
      <c r="K337" s="26" t="n">
        <f aca="false">MAX(0,MIN(Instellingen!$B$8*MIN(F337,Instellingen!$B$4*G337),MIN(H337,Instellingen!$B$4*I337)/Instellingen!$B$8))</f>
        <v>2.38224917066018</v>
      </c>
      <c r="L337" s="26" t="str">
        <f aca="false">IF($E337="Winter",$K337,"")</f>
        <v/>
      </c>
      <c r="M337" s="26" t="str">
        <f aca="false">IF($E337="Lente",$K337,"")</f>
        <v/>
      </c>
      <c r="N337" s="26" t="n">
        <f aca="false">IF($E337="Zomer",$K337,"")</f>
        <v>2.38224917066018</v>
      </c>
      <c r="O337" s="26" t="str">
        <f aca="false">IF($E337="Herfst",$K337,"")</f>
        <v/>
      </c>
    </row>
    <row r="338" customFormat="false" ht="15" hidden="false" customHeight="true" outlineLevel="0" collapsed="false">
      <c r="A338" s="23" t="n">
        <v>46234</v>
      </c>
      <c r="B338" s="24" t="n">
        <v>2.43</v>
      </c>
      <c r="C338" s="24" t="n">
        <v>30.34</v>
      </c>
      <c r="D338" s="24" t="n">
        <v>2.24</v>
      </c>
      <c r="E338" s="24" t="s">
        <v>24</v>
      </c>
      <c r="F338" s="24" t="n">
        <v>30.34</v>
      </c>
      <c r="G338" s="25" t="n">
        <v>15</v>
      </c>
      <c r="H338" s="24" t="n">
        <v>2.26</v>
      </c>
      <c r="I338" s="25" t="n">
        <v>9</v>
      </c>
      <c r="J338" s="24" t="n">
        <v>2.36</v>
      </c>
      <c r="K338" s="26" t="n">
        <f aca="false">MAX(0,MIN(Instellingen!$B$8*MIN(F338,Instellingen!$B$4*G338),MIN(H338,Instellingen!$B$4*I338)/Instellingen!$B$8))</f>
        <v>2.38224917066018</v>
      </c>
      <c r="L338" s="26" t="str">
        <f aca="false">IF($E338="Winter",$K338,"")</f>
        <v/>
      </c>
      <c r="M338" s="26" t="str">
        <f aca="false">IF($E338="Lente",$K338,"")</f>
        <v/>
      </c>
      <c r="N338" s="26" t="n">
        <f aca="false">IF($E338="Zomer",$K338,"")</f>
        <v>2.38224917066018</v>
      </c>
      <c r="O338" s="26" t="str">
        <f aca="false">IF($E338="Herfst",$K338,"")</f>
        <v/>
      </c>
    </row>
    <row r="339" customFormat="false" ht="15" hidden="false" customHeight="true" outlineLevel="0" collapsed="false">
      <c r="A339" s="23" t="n">
        <v>46235</v>
      </c>
      <c r="B339" s="24" t="n">
        <v>2.45</v>
      </c>
      <c r="C339" s="24" t="n">
        <v>24.77</v>
      </c>
      <c r="D339" s="24" t="n">
        <v>2.25</v>
      </c>
      <c r="E339" s="24" t="s">
        <v>24</v>
      </c>
      <c r="F339" s="24" t="n">
        <v>24.77</v>
      </c>
      <c r="G339" s="25" t="n">
        <v>15</v>
      </c>
      <c r="H339" s="24" t="n">
        <v>2.24</v>
      </c>
      <c r="I339" s="25" t="n">
        <v>9</v>
      </c>
      <c r="J339" s="24" t="n">
        <v>2.33</v>
      </c>
      <c r="K339" s="26" t="n">
        <f aca="false">MAX(0,MIN(Instellingen!$B$8*MIN(F339,Instellingen!$B$4*G339),MIN(H339,Instellingen!$B$4*I339)/Instellingen!$B$8))</f>
        <v>2.36116731959239</v>
      </c>
      <c r="L339" s="26" t="str">
        <f aca="false">IF($E339="Winter",$K339,"")</f>
        <v/>
      </c>
      <c r="M339" s="26" t="str">
        <f aca="false">IF($E339="Lente",$K339,"")</f>
        <v/>
      </c>
      <c r="N339" s="26" t="n">
        <f aca="false">IF($E339="Zomer",$K339,"")</f>
        <v>2.36116731959239</v>
      </c>
      <c r="O339" s="26" t="str">
        <f aca="false">IF($E339="Herfst",$K339,"")</f>
        <v/>
      </c>
    </row>
    <row r="340" customFormat="false" ht="15" hidden="false" customHeight="true" outlineLevel="0" collapsed="false">
      <c r="A340" s="23" t="n">
        <v>46236</v>
      </c>
      <c r="B340" s="24" t="n">
        <v>2.38</v>
      </c>
      <c r="C340" s="24" t="n">
        <v>36.78</v>
      </c>
      <c r="D340" s="24" t="n">
        <v>2.24</v>
      </c>
      <c r="E340" s="24" t="s">
        <v>24</v>
      </c>
      <c r="F340" s="24" t="n">
        <v>36.78</v>
      </c>
      <c r="G340" s="25" t="n">
        <v>15</v>
      </c>
      <c r="H340" s="24" t="n">
        <v>2.47</v>
      </c>
      <c r="I340" s="25" t="n">
        <v>10</v>
      </c>
      <c r="J340" s="24" t="n">
        <v>2.58</v>
      </c>
      <c r="K340" s="26" t="n">
        <f aca="false">MAX(0,MIN(Instellingen!$B$8*MIN(F340,Instellingen!$B$4*G340),MIN(H340,Instellingen!$B$4*I340)/Instellingen!$B$8))</f>
        <v>2.60360860687197</v>
      </c>
      <c r="L340" s="26" t="str">
        <f aca="false">IF($E340="Winter",$K340,"")</f>
        <v/>
      </c>
      <c r="M340" s="26" t="str">
        <f aca="false">IF($E340="Lente",$K340,"")</f>
        <v/>
      </c>
      <c r="N340" s="26" t="n">
        <f aca="false">IF($E340="Zomer",$K340,"")</f>
        <v>2.60360860687197</v>
      </c>
      <c r="O340" s="26" t="str">
        <f aca="false">IF($E340="Herfst",$K340,"")</f>
        <v/>
      </c>
    </row>
    <row r="341" customFormat="false" ht="15" hidden="false" customHeight="true" outlineLevel="0" collapsed="false">
      <c r="A341" s="23" t="n">
        <v>46237</v>
      </c>
      <c r="B341" s="24" t="n">
        <v>2.53</v>
      </c>
      <c r="C341" s="24" t="n">
        <v>34.25</v>
      </c>
      <c r="D341" s="24" t="n">
        <v>2.48</v>
      </c>
      <c r="E341" s="24" t="s">
        <v>24</v>
      </c>
      <c r="F341" s="24" t="n">
        <v>34.25</v>
      </c>
      <c r="G341" s="25" t="n">
        <v>14</v>
      </c>
      <c r="H341" s="24" t="n">
        <v>2.51</v>
      </c>
      <c r="I341" s="25" t="n">
        <v>10</v>
      </c>
      <c r="J341" s="24" t="n">
        <v>2.62</v>
      </c>
      <c r="K341" s="26" t="n">
        <f aca="false">MAX(0,MIN(Instellingen!$B$8*MIN(F341,Instellingen!$B$4*G341),MIN(H341,Instellingen!$B$4*I341)/Instellingen!$B$8))</f>
        <v>2.64577230900754</v>
      </c>
      <c r="L341" s="26" t="str">
        <f aca="false">IF($E341="Winter",$K341,"")</f>
        <v/>
      </c>
      <c r="M341" s="26" t="str">
        <f aca="false">IF($E341="Lente",$K341,"")</f>
        <v/>
      </c>
      <c r="N341" s="26" t="n">
        <f aca="false">IF($E341="Zomer",$K341,"")</f>
        <v>2.64577230900754</v>
      </c>
      <c r="O341" s="26" t="str">
        <f aca="false">IF($E341="Herfst",$K341,"")</f>
        <v/>
      </c>
    </row>
    <row r="342" customFormat="false" ht="15" hidden="false" customHeight="true" outlineLevel="0" collapsed="false">
      <c r="A342" s="23" t="n">
        <v>46238</v>
      </c>
      <c r="B342" s="24" t="n">
        <v>2.96</v>
      </c>
      <c r="C342" s="24" t="n">
        <v>26.52</v>
      </c>
      <c r="D342" s="24" t="n">
        <v>2.93</v>
      </c>
      <c r="E342" s="24" t="s">
        <v>24</v>
      </c>
      <c r="F342" s="24" t="n">
        <v>26.52</v>
      </c>
      <c r="G342" s="25" t="n">
        <v>12</v>
      </c>
      <c r="H342" s="24" t="n">
        <v>2.77</v>
      </c>
      <c r="I342" s="25" t="n">
        <v>11</v>
      </c>
      <c r="J342" s="24" t="n">
        <v>2.89</v>
      </c>
      <c r="K342" s="26" t="n">
        <f aca="false">MAX(0,MIN(Instellingen!$B$8*MIN(F342,Instellingen!$B$4*G342),MIN(H342,Instellingen!$B$4*I342)/Instellingen!$B$8))</f>
        <v>2.9198363728888</v>
      </c>
      <c r="L342" s="26" t="str">
        <f aca="false">IF($E342="Winter",$K342,"")</f>
        <v/>
      </c>
      <c r="M342" s="26" t="str">
        <f aca="false">IF($E342="Lente",$K342,"")</f>
        <v/>
      </c>
      <c r="N342" s="26" t="n">
        <f aca="false">IF($E342="Zomer",$K342,"")</f>
        <v>2.9198363728888</v>
      </c>
      <c r="O342" s="26" t="str">
        <f aca="false">IF($E342="Herfst",$K342,"")</f>
        <v/>
      </c>
    </row>
    <row r="343" customFormat="false" ht="15" hidden="false" customHeight="true" outlineLevel="0" collapsed="false">
      <c r="A343" s="23" t="n">
        <v>46239</v>
      </c>
      <c r="B343" s="24" t="n">
        <v>2.6</v>
      </c>
      <c r="C343" s="24" t="n">
        <v>28</v>
      </c>
      <c r="D343" s="24" t="n">
        <v>2.35</v>
      </c>
      <c r="E343" s="24" t="s">
        <v>24</v>
      </c>
      <c r="F343" s="24" t="n">
        <v>28</v>
      </c>
      <c r="G343" s="25" t="n">
        <v>15</v>
      </c>
      <c r="H343" s="24" t="n">
        <v>2.31</v>
      </c>
      <c r="I343" s="25" t="n">
        <v>9</v>
      </c>
      <c r="J343" s="24" t="n">
        <v>2.41</v>
      </c>
      <c r="K343" s="26" t="n">
        <f aca="false">MAX(0,MIN(Instellingen!$B$8*MIN(F343,Instellingen!$B$4*G343),MIN(H343,Instellingen!$B$4*I343)/Instellingen!$B$8))</f>
        <v>2.43495379832965</v>
      </c>
      <c r="L343" s="26" t="str">
        <f aca="false">IF($E343="Winter",$K343,"")</f>
        <v/>
      </c>
      <c r="M343" s="26" t="str">
        <f aca="false">IF($E343="Lente",$K343,"")</f>
        <v/>
      </c>
      <c r="N343" s="26" t="n">
        <f aca="false">IF($E343="Zomer",$K343,"")</f>
        <v>2.43495379832965</v>
      </c>
      <c r="O343" s="26" t="str">
        <f aca="false">IF($E343="Herfst",$K343,"")</f>
        <v/>
      </c>
    </row>
    <row r="344" customFormat="false" ht="15" hidden="false" customHeight="true" outlineLevel="0" collapsed="false">
      <c r="A344" s="23" t="n">
        <v>46240</v>
      </c>
      <c r="B344" s="24" t="n">
        <v>2.5</v>
      </c>
      <c r="C344" s="24" t="n">
        <v>36.39</v>
      </c>
      <c r="D344" s="24" t="n">
        <v>2.33</v>
      </c>
      <c r="E344" s="24" t="s">
        <v>24</v>
      </c>
      <c r="F344" s="24" t="n">
        <v>36.39</v>
      </c>
      <c r="G344" s="25" t="n">
        <v>15</v>
      </c>
      <c r="H344" s="24" t="n">
        <v>2.61</v>
      </c>
      <c r="I344" s="25" t="n">
        <v>11</v>
      </c>
      <c r="J344" s="24" t="n">
        <v>2.71</v>
      </c>
      <c r="K344" s="26" t="n">
        <f aca="false">MAX(0,MIN(Instellingen!$B$8*MIN(F344,Instellingen!$B$4*G344),MIN(H344,Instellingen!$B$4*I344)/Instellingen!$B$8))</f>
        <v>2.75118156434649</v>
      </c>
      <c r="L344" s="26" t="str">
        <f aca="false">IF($E344="Winter",$K344,"")</f>
        <v/>
      </c>
      <c r="M344" s="26" t="str">
        <f aca="false">IF($E344="Lente",$K344,"")</f>
        <v/>
      </c>
      <c r="N344" s="26" t="n">
        <f aca="false">IF($E344="Zomer",$K344,"")</f>
        <v>2.75118156434649</v>
      </c>
      <c r="O344" s="26" t="str">
        <f aca="false">IF($E344="Herfst",$K344,"")</f>
        <v/>
      </c>
    </row>
    <row r="345" customFormat="false" ht="15" hidden="false" customHeight="true" outlineLevel="0" collapsed="false">
      <c r="A345" s="23" t="n">
        <v>46241</v>
      </c>
      <c r="B345" s="24" t="n">
        <v>2.7</v>
      </c>
      <c r="C345" s="24" t="n">
        <v>18.93</v>
      </c>
      <c r="D345" s="24" t="n">
        <v>2.6</v>
      </c>
      <c r="E345" s="24" t="s">
        <v>24</v>
      </c>
      <c r="F345" s="24" t="n">
        <v>18.93</v>
      </c>
      <c r="G345" s="25" t="n">
        <v>13</v>
      </c>
      <c r="H345" s="24" t="n">
        <v>2.42</v>
      </c>
      <c r="I345" s="25" t="n">
        <v>10</v>
      </c>
      <c r="J345" s="24" t="n">
        <v>2.52</v>
      </c>
      <c r="K345" s="26" t="n">
        <f aca="false">MAX(0,MIN(Instellingen!$B$8*MIN(F345,Instellingen!$B$4*G345),MIN(H345,Instellingen!$B$4*I345)/Instellingen!$B$8))</f>
        <v>2.55090397920249</v>
      </c>
      <c r="L345" s="26" t="str">
        <f aca="false">IF($E345="Winter",$K345,"")</f>
        <v/>
      </c>
      <c r="M345" s="26" t="str">
        <f aca="false">IF($E345="Lente",$K345,"")</f>
        <v/>
      </c>
      <c r="N345" s="26" t="n">
        <f aca="false">IF($E345="Zomer",$K345,"")</f>
        <v>2.55090397920249</v>
      </c>
      <c r="O345" s="26" t="str">
        <f aca="false">IF($E345="Herfst",$K345,"")</f>
        <v/>
      </c>
    </row>
    <row r="346" customFormat="false" ht="15" hidden="false" customHeight="true" outlineLevel="0" collapsed="false">
      <c r="A346" s="23" t="n">
        <v>46242</v>
      </c>
      <c r="B346" s="24" t="n">
        <v>3.92</v>
      </c>
      <c r="C346" s="24" t="n">
        <v>32.77</v>
      </c>
      <c r="D346" s="24" t="n">
        <v>3.66</v>
      </c>
      <c r="E346" s="24" t="s">
        <v>24</v>
      </c>
      <c r="F346" s="24" t="n">
        <v>32.76</v>
      </c>
      <c r="G346" s="25" t="n">
        <v>14</v>
      </c>
      <c r="H346" s="24" t="n">
        <v>3.58</v>
      </c>
      <c r="I346" s="25" t="n">
        <v>10</v>
      </c>
      <c r="J346" s="24" t="n">
        <v>3.74</v>
      </c>
      <c r="K346" s="26" t="n">
        <f aca="false">MAX(0,MIN(Instellingen!$B$8*MIN(F346,Instellingen!$B$4*G346),MIN(H346,Instellingen!$B$4*I346)/Instellingen!$B$8))</f>
        <v>3.77365134113427</v>
      </c>
      <c r="L346" s="26" t="str">
        <f aca="false">IF($E346="Winter",$K346,"")</f>
        <v/>
      </c>
      <c r="M346" s="26" t="str">
        <f aca="false">IF($E346="Lente",$K346,"")</f>
        <v/>
      </c>
      <c r="N346" s="26" t="n">
        <f aca="false">IF($E346="Zomer",$K346,"")</f>
        <v>3.77365134113427</v>
      </c>
      <c r="O346" s="26" t="str">
        <f aca="false">IF($E346="Herfst",$K346,"")</f>
        <v/>
      </c>
    </row>
    <row r="347" customFormat="false" ht="15" hidden="false" customHeight="true" outlineLevel="0" collapsed="false">
      <c r="A347" s="23" t="n">
        <v>46243</v>
      </c>
      <c r="B347" s="24" t="n">
        <v>7.19</v>
      </c>
      <c r="C347" s="24" t="n">
        <v>17.46</v>
      </c>
      <c r="D347" s="24" t="n">
        <v>6.65</v>
      </c>
      <c r="E347" s="24" t="s">
        <v>24</v>
      </c>
      <c r="F347" s="24" t="n">
        <v>17.46</v>
      </c>
      <c r="G347" s="25" t="n">
        <v>11</v>
      </c>
      <c r="H347" s="24" t="n">
        <v>6.84</v>
      </c>
      <c r="I347" s="25" t="n">
        <v>13</v>
      </c>
      <c r="J347" s="24" t="n">
        <v>7.14</v>
      </c>
      <c r="K347" s="26" t="n">
        <f aca="false">MAX(0,MIN(Instellingen!$B$8*MIN(F347,Instellingen!$B$4*G347),MIN(H347,Instellingen!$B$4*I347)/Instellingen!$B$8))</f>
        <v>7.20999306518391</v>
      </c>
      <c r="L347" s="26" t="str">
        <f aca="false">IF($E347="Winter",$K347,"")</f>
        <v/>
      </c>
      <c r="M347" s="26" t="str">
        <f aca="false">IF($E347="Lente",$K347,"")</f>
        <v/>
      </c>
      <c r="N347" s="26" t="n">
        <f aca="false">IF($E347="Zomer",$K347,"")</f>
        <v>7.20999306518391</v>
      </c>
      <c r="O347" s="26" t="str">
        <f aca="false">IF($E347="Herfst",$K347,"")</f>
        <v/>
      </c>
    </row>
    <row r="348" customFormat="false" ht="15" hidden="false" customHeight="true" outlineLevel="0" collapsed="false">
      <c r="A348" s="23" t="n">
        <v>46244</v>
      </c>
      <c r="B348" s="24" t="n">
        <v>11.38</v>
      </c>
      <c r="C348" s="24" t="n">
        <v>17.25</v>
      </c>
      <c r="D348" s="24" t="n">
        <v>4.47</v>
      </c>
      <c r="E348" s="24" t="s">
        <v>24</v>
      </c>
      <c r="F348" s="24" t="n">
        <v>17.25</v>
      </c>
      <c r="G348" s="25" t="n">
        <v>14</v>
      </c>
      <c r="H348" s="24" t="n">
        <v>4.3</v>
      </c>
      <c r="I348" s="25" t="n">
        <v>10</v>
      </c>
      <c r="J348" s="24" t="n">
        <v>4.49</v>
      </c>
      <c r="K348" s="26" t="n">
        <f aca="false">MAX(0,MIN(Instellingen!$B$8*MIN(F348,Instellingen!$B$4*G348),MIN(H348,Instellingen!$B$4*I348)/Instellingen!$B$8))</f>
        <v>4.53259797957468</v>
      </c>
      <c r="L348" s="26" t="str">
        <f aca="false">IF($E348="Winter",$K348,"")</f>
        <v/>
      </c>
      <c r="M348" s="26" t="str">
        <f aca="false">IF($E348="Lente",$K348,"")</f>
        <v/>
      </c>
      <c r="N348" s="26" t="n">
        <f aca="false">IF($E348="Zomer",$K348,"")</f>
        <v>4.53259797957468</v>
      </c>
      <c r="O348" s="26" t="str">
        <f aca="false">IF($E348="Herfst",$K348,"")</f>
        <v/>
      </c>
    </row>
    <row r="349" customFormat="false" ht="15" hidden="false" customHeight="true" outlineLevel="0" collapsed="false">
      <c r="A349" s="23" t="n">
        <v>46245</v>
      </c>
      <c r="B349" s="24" t="n">
        <v>5.56</v>
      </c>
      <c r="C349" s="24" t="n">
        <v>24.08</v>
      </c>
      <c r="D349" s="24" t="n">
        <v>4.89</v>
      </c>
      <c r="E349" s="24" t="s">
        <v>24</v>
      </c>
      <c r="F349" s="24" t="n">
        <v>24.07</v>
      </c>
      <c r="G349" s="25" t="n">
        <v>14</v>
      </c>
      <c r="H349" s="24" t="n">
        <v>7.18</v>
      </c>
      <c r="I349" s="25" t="n">
        <v>10</v>
      </c>
      <c r="J349" s="24" t="n">
        <v>7.49</v>
      </c>
      <c r="K349" s="26" t="n">
        <f aca="false">MAX(0,MIN(Instellingen!$B$8*MIN(F349,Instellingen!$B$4*G349),MIN(H349,Instellingen!$B$4*I349)/Instellingen!$B$8))</f>
        <v>7.56838453333632</v>
      </c>
      <c r="L349" s="26" t="str">
        <f aca="false">IF($E349="Winter",$K349,"")</f>
        <v/>
      </c>
      <c r="M349" s="26" t="str">
        <f aca="false">IF($E349="Lente",$K349,"")</f>
        <v/>
      </c>
      <c r="N349" s="26" t="n">
        <f aca="false">IF($E349="Zomer",$K349,"")</f>
        <v>7.56838453333632</v>
      </c>
      <c r="O349" s="26" t="str">
        <f aca="false">IF($E349="Herfst",$K349,"")</f>
        <v/>
      </c>
    </row>
    <row r="350" customFormat="false" ht="15" hidden="false" customHeight="true" outlineLevel="0" collapsed="false">
      <c r="A350" s="23" t="n">
        <v>46246</v>
      </c>
      <c r="B350" s="24" t="n">
        <v>7.2</v>
      </c>
      <c r="C350" s="24" t="n">
        <v>26.45</v>
      </c>
      <c r="D350" s="24" t="n">
        <v>6.84</v>
      </c>
      <c r="E350" s="24" t="s">
        <v>24</v>
      </c>
      <c r="F350" s="24" t="n">
        <v>26.45</v>
      </c>
      <c r="G350" s="25" t="n">
        <v>13</v>
      </c>
      <c r="H350" s="24" t="n">
        <v>4.79</v>
      </c>
      <c r="I350" s="25" t="n">
        <v>11</v>
      </c>
      <c r="J350" s="24" t="n">
        <v>5</v>
      </c>
      <c r="K350" s="26" t="n">
        <f aca="false">MAX(0,MIN(Instellingen!$B$8*MIN(F350,Instellingen!$B$4*G350),MIN(H350,Instellingen!$B$4*I350)/Instellingen!$B$8))</f>
        <v>5.04910333073551</v>
      </c>
      <c r="L350" s="26" t="str">
        <f aca="false">IF($E350="Winter",$K350,"")</f>
        <v/>
      </c>
      <c r="M350" s="26" t="str">
        <f aca="false">IF($E350="Lente",$K350,"")</f>
        <v/>
      </c>
      <c r="N350" s="26" t="n">
        <f aca="false">IF($E350="Zomer",$K350,"")</f>
        <v>5.04910333073551</v>
      </c>
      <c r="O350" s="26" t="str">
        <f aca="false">IF($E350="Herfst",$K350,"")</f>
        <v/>
      </c>
    </row>
    <row r="351" customFormat="false" ht="15" hidden="false" customHeight="true" outlineLevel="0" collapsed="false">
      <c r="A351" s="23" t="n">
        <v>46247</v>
      </c>
      <c r="B351" s="24" t="n">
        <v>5.01</v>
      </c>
      <c r="C351" s="24" t="n">
        <v>26</v>
      </c>
      <c r="D351" s="24" t="n">
        <v>3.97</v>
      </c>
      <c r="E351" s="24" t="s">
        <v>24</v>
      </c>
      <c r="F351" s="24" t="n">
        <v>26</v>
      </c>
      <c r="G351" s="25" t="n">
        <v>14</v>
      </c>
      <c r="H351" s="24" t="n">
        <v>3.96</v>
      </c>
      <c r="I351" s="25" t="n">
        <v>10</v>
      </c>
      <c r="J351" s="24" t="n">
        <v>4.13</v>
      </c>
      <c r="K351" s="26" t="n">
        <f aca="false">MAX(0,MIN(Instellingen!$B$8*MIN(F351,Instellingen!$B$4*G351),MIN(H351,Instellingen!$B$4*I351)/Instellingen!$B$8))</f>
        <v>4.17420651142226</v>
      </c>
      <c r="L351" s="26" t="str">
        <f aca="false">IF($E351="Winter",$K351,"")</f>
        <v/>
      </c>
      <c r="M351" s="26" t="str">
        <f aca="false">IF($E351="Lente",$K351,"")</f>
        <v/>
      </c>
      <c r="N351" s="26" t="n">
        <f aca="false">IF($E351="Zomer",$K351,"")</f>
        <v>4.17420651142226</v>
      </c>
      <c r="O351" s="26" t="str">
        <f aca="false">IF($E351="Herfst",$K351,"")</f>
        <v/>
      </c>
    </row>
    <row r="352" customFormat="false" ht="15" hidden="false" customHeight="true" outlineLevel="0" collapsed="false">
      <c r="A352" s="23" t="n">
        <v>46248</v>
      </c>
      <c r="B352" s="24" t="n">
        <v>9.39</v>
      </c>
      <c r="C352" s="24" t="n">
        <v>25.24</v>
      </c>
      <c r="D352" s="24" t="n">
        <v>3.9</v>
      </c>
      <c r="E352" s="24" t="s">
        <v>24</v>
      </c>
      <c r="F352" s="24" t="n">
        <v>25.24</v>
      </c>
      <c r="G352" s="25" t="n">
        <v>7</v>
      </c>
      <c r="H352" s="24" t="n">
        <v>4.29</v>
      </c>
      <c r="I352" s="25" t="n">
        <v>18</v>
      </c>
      <c r="J352" s="24" t="n">
        <v>4.47</v>
      </c>
      <c r="K352" s="26" t="n">
        <f aca="false">MAX(0,MIN(Instellingen!$B$8*MIN(F352,Instellingen!$B$4*G352),MIN(H352,Instellingen!$B$4*I352)/Instellingen!$B$8))</f>
        <v>4.52205705404078</v>
      </c>
      <c r="L352" s="26" t="str">
        <f aca="false">IF($E352="Winter",$K352,"")</f>
        <v/>
      </c>
      <c r="M352" s="26" t="str">
        <f aca="false">IF($E352="Lente",$K352,"")</f>
        <v/>
      </c>
      <c r="N352" s="26" t="n">
        <f aca="false">IF($E352="Zomer",$K352,"")</f>
        <v>4.52205705404078</v>
      </c>
      <c r="O352" s="26" t="str">
        <f aca="false">IF($E352="Herfst",$K352,"")</f>
        <v/>
      </c>
    </row>
    <row r="353" customFormat="false" ht="15" hidden="false" customHeight="true" outlineLevel="0" collapsed="false">
      <c r="A353" s="23" t="n">
        <v>46249</v>
      </c>
      <c r="B353" s="24" t="n">
        <v>9.01</v>
      </c>
      <c r="C353" s="24" t="n">
        <v>5.69</v>
      </c>
      <c r="D353" s="24" t="n">
        <v>7.51</v>
      </c>
      <c r="E353" s="24" t="s">
        <v>24</v>
      </c>
      <c r="F353" s="24" t="n">
        <v>5.68</v>
      </c>
      <c r="G353" s="25" t="n">
        <v>10</v>
      </c>
      <c r="H353" s="24" t="n">
        <v>10.15</v>
      </c>
      <c r="I353" s="25" t="n">
        <v>14</v>
      </c>
      <c r="J353" s="24" t="n">
        <v>4.98</v>
      </c>
      <c r="K353" s="26" t="n">
        <f aca="false">MAX(0,MIN(Instellingen!$B$8*MIN(F353,Instellingen!$B$4*G353),MIN(H353,Instellingen!$B$4*I353)/Instellingen!$B$8))</f>
        <v>5.38852113292692</v>
      </c>
      <c r="L353" s="26" t="str">
        <f aca="false">IF($E353="Winter",$K353,"")</f>
        <v/>
      </c>
      <c r="M353" s="26" t="str">
        <f aca="false">IF($E353="Lente",$K353,"")</f>
        <v/>
      </c>
      <c r="N353" s="26" t="n">
        <f aca="false">IF($E353="Zomer",$K353,"")</f>
        <v>5.38852113292692</v>
      </c>
      <c r="O353" s="26" t="str">
        <f aca="false">IF($E353="Herfst",$K353,"")</f>
        <v/>
      </c>
    </row>
    <row r="354" customFormat="false" ht="15" hidden="false" customHeight="true" outlineLevel="0" collapsed="false">
      <c r="A354" s="23" t="n">
        <v>46250</v>
      </c>
      <c r="B354" s="24" t="n">
        <v>11.86</v>
      </c>
      <c r="C354" s="24" t="n">
        <v>16.62</v>
      </c>
      <c r="D354" s="24" t="n">
        <v>10.85</v>
      </c>
      <c r="E354" s="24" t="s">
        <v>24</v>
      </c>
      <c r="F354" s="24" t="n">
        <v>16.62</v>
      </c>
      <c r="G354" s="25" t="n">
        <v>11</v>
      </c>
      <c r="H354" s="24" t="n">
        <v>12.24</v>
      </c>
      <c r="I354" s="25" t="n">
        <v>13</v>
      </c>
      <c r="J354" s="24" t="n">
        <v>12.78</v>
      </c>
      <c r="K354" s="26" t="n">
        <f aca="false">MAX(0,MIN(Instellingen!$B$8*MIN(F354,Instellingen!$B$4*G354),MIN(H354,Instellingen!$B$4*I354)/Instellingen!$B$8))</f>
        <v>12.902092853487</v>
      </c>
      <c r="L354" s="26" t="str">
        <f aca="false">IF($E354="Winter",$K354,"")</f>
        <v/>
      </c>
      <c r="M354" s="26" t="str">
        <f aca="false">IF($E354="Lente",$K354,"")</f>
        <v/>
      </c>
      <c r="N354" s="26" t="n">
        <f aca="false">IF($E354="Zomer",$K354,"")</f>
        <v>12.902092853487</v>
      </c>
      <c r="O354" s="26" t="str">
        <f aca="false">IF($E354="Herfst",$K354,"")</f>
        <v/>
      </c>
    </row>
    <row r="355" customFormat="false" ht="15" hidden="false" customHeight="true" outlineLevel="0" collapsed="false">
      <c r="A355" s="23" t="n">
        <v>46251</v>
      </c>
      <c r="B355" s="24" t="n">
        <v>12.63</v>
      </c>
      <c r="C355" s="24" t="n">
        <v>11.86</v>
      </c>
      <c r="D355" s="24" t="n">
        <v>7.84</v>
      </c>
      <c r="E355" s="24" t="s">
        <v>24</v>
      </c>
      <c r="F355" s="24" t="n">
        <v>11.86</v>
      </c>
      <c r="G355" s="25" t="n">
        <v>12</v>
      </c>
      <c r="H355" s="24" t="n">
        <v>4.75</v>
      </c>
      <c r="I355" s="25" t="n">
        <v>14</v>
      </c>
      <c r="J355" s="24" t="n">
        <v>4.95</v>
      </c>
      <c r="K355" s="26" t="n">
        <f aca="false">MAX(0,MIN(Instellingen!$B$8*MIN(F355,Instellingen!$B$4*G355),MIN(H355,Instellingen!$B$4*I355)/Instellingen!$B$8))</f>
        <v>5.00693962859993</v>
      </c>
      <c r="L355" s="26" t="str">
        <f aca="false">IF($E355="Winter",$K355,"")</f>
        <v/>
      </c>
      <c r="M355" s="26" t="str">
        <f aca="false">IF($E355="Lente",$K355,"")</f>
        <v/>
      </c>
      <c r="N355" s="26" t="n">
        <f aca="false">IF($E355="Zomer",$K355,"")</f>
        <v>5.00693962859993</v>
      </c>
      <c r="O355" s="26" t="str">
        <f aca="false">IF($E355="Herfst",$K355,"")</f>
        <v/>
      </c>
    </row>
    <row r="356" customFormat="false" ht="15" hidden="false" customHeight="true" outlineLevel="0" collapsed="false">
      <c r="A356" s="23" t="n">
        <v>46252</v>
      </c>
      <c r="B356" s="24" t="n">
        <v>4.34</v>
      </c>
      <c r="C356" s="24" t="n">
        <v>8.75</v>
      </c>
      <c r="D356" s="24" t="n">
        <v>4.28</v>
      </c>
      <c r="E356" s="24" t="s">
        <v>24</v>
      </c>
      <c r="F356" s="24" t="n">
        <v>8.75</v>
      </c>
      <c r="G356" s="25" t="n">
        <v>10</v>
      </c>
      <c r="H356" s="24" t="n">
        <v>3.28</v>
      </c>
      <c r="I356" s="25" t="n">
        <v>13</v>
      </c>
      <c r="J356" s="24" t="n">
        <v>3.42</v>
      </c>
      <c r="K356" s="26" t="n">
        <f aca="false">MAX(0,MIN(Instellingen!$B$8*MIN(F356,Instellingen!$B$4*G356),MIN(H356,Instellingen!$B$4*I356)/Instellingen!$B$8))</f>
        <v>3.45742357511743</v>
      </c>
      <c r="L356" s="26" t="str">
        <f aca="false">IF($E356="Winter",$K356,"")</f>
        <v/>
      </c>
      <c r="M356" s="26" t="str">
        <f aca="false">IF($E356="Lente",$K356,"")</f>
        <v/>
      </c>
      <c r="N356" s="26" t="n">
        <f aca="false">IF($E356="Zomer",$K356,"")</f>
        <v>3.45742357511743</v>
      </c>
      <c r="O356" s="26" t="str">
        <f aca="false">IF($E356="Herfst",$K356,"")</f>
        <v/>
      </c>
    </row>
    <row r="357" customFormat="false" ht="15" hidden="false" customHeight="true" outlineLevel="0" collapsed="false">
      <c r="A357" s="23" t="n">
        <v>46253</v>
      </c>
      <c r="B357" s="24" t="n">
        <v>4.3</v>
      </c>
      <c r="C357" s="24" t="n">
        <v>5.16</v>
      </c>
      <c r="D357" s="24" t="n">
        <v>3.85</v>
      </c>
      <c r="E357" s="24" t="s">
        <v>24</v>
      </c>
      <c r="F357" s="24" t="n">
        <v>5.16</v>
      </c>
      <c r="G357" s="25" t="n">
        <v>12</v>
      </c>
      <c r="H357" s="24" t="n">
        <v>4.27</v>
      </c>
      <c r="I357" s="25" t="n">
        <v>11</v>
      </c>
      <c r="J357" s="24" t="n">
        <v>4.45</v>
      </c>
      <c r="K357" s="26" t="n">
        <f aca="false">MAX(0,MIN(Instellingen!$B$8*MIN(F357,Instellingen!$B$4*G357),MIN(H357,Instellingen!$B$4*I357)/Instellingen!$B$8))</f>
        <v>4.50097520297299</v>
      </c>
      <c r="L357" s="26" t="str">
        <f aca="false">IF($E357="Winter",$K357,"")</f>
        <v/>
      </c>
      <c r="M357" s="26" t="str">
        <f aca="false">IF($E357="Lente",$K357,"")</f>
        <v/>
      </c>
      <c r="N357" s="26" t="n">
        <f aca="false">IF($E357="Zomer",$K357,"")</f>
        <v>4.50097520297299</v>
      </c>
      <c r="O357" s="26" t="str">
        <f aca="false">IF($E357="Herfst",$K357,"")</f>
        <v/>
      </c>
    </row>
    <row r="358" customFormat="false" ht="15" hidden="false" customHeight="true" outlineLevel="0" collapsed="false">
      <c r="A358" s="23" t="n">
        <v>46254</v>
      </c>
      <c r="B358" s="24" t="n">
        <v>7.55</v>
      </c>
      <c r="C358" s="24" t="n">
        <v>16.32</v>
      </c>
      <c r="D358" s="24" t="n">
        <v>4.88</v>
      </c>
      <c r="E358" s="24" t="s">
        <v>24</v>
      </c>
      <c r="F358" s="24" t="n">
        <v>16.32</v>
      </c>
      <c r="G358" s="25" t="n">
        <v>13</v>
      </c>
      <c r="H358" s="24" t="n">
        <v>4.72</v>
      </c>
      <c r="I358" s="25" t="n">
        <v>10</v>
      </c>
      <c r="J358" s="24" t="n">
        <v>4.93</v>
      </c>
      <c r="K358" s="26" t="n">
        <f aca="false">MAX(0,MIN(Instellingen!$B$8*MIN(F358,Instellingen!$B$4*G358),MIN(H358,Instellingen!$B$4*I358)/Instellingen!$B$8))</f>
        <v>4.97531685199825</v>
      </c>
      <c r="L358" s="26" t="str">
        <f aca="false">IF($E358="Winter",$K358,"")</f>
        <v/>
      </c>
      <c r="M358" s="26" t="str">
        <f aca="false">IF($E358="Lente",$K358,"")</f>
        <v/>
      </c>
      <c r="N358" s="26" t="n">
        <f aca="false">IF($E358="Zomer",$K358,"")</f>
        <v>4.97531685199825</v>
      </c>
      <c r="O358" s="26" t="str">
        <f aca="false">IF($E358="Herfst",$K358,"")</f>
        <v/>
      </c>
    </row>
    <row r="359" customFormat="false" ht="15" hidden="false" customHeight="true" outlineLevel="0" collapsed="false">
      <c r="A359" s="23" t="n">
        <v>46255</v>
      </c>
      <c r="B359" s="24" t="n">
        <v>4.77</v>
      </c>
      <c r="C359" s="24" t="n">
        <v>17.5</v>
      </c>
      <c r="D359" s="24" t="n">
        <v>3.62</v>
      </c>
      <c r="E359" s="24" t="s">
        <v>24</v>
      </c>
      <c r="F359" s="24" t="n">
        <v>17.5</v>
      </c>
      <c r="G359" s="25" t="n">
        <v>13</v>
      </c>
      <c r="H359" s="24" t="n">
        <v>3.43</v>
      </c>
      <c r="I359" s="25" t="n">
        <v>11</v>
      </c>
      <c r="J359" s="24" t="n">
        <v>3.58</v>
      </c>
      <c r="K359" s="26" t="n">
        <f aca="false">MAX(0,MIN(Instellingen!$B$8*MIN(F359,Instellingen!$B$4*G359),MIN(H359,Instellingen!$B$4*I359)/Instellingen!$B$8))</f>
        <v>3.61553745812585</v>
      </c>
      <c r="L359" s="26" t="str">
        <f aca="false">IF($E359="Winter",$K359,"")</f>
        <v/>
      </c>
      <c r="M359" s="26" t="str">
        <f aca="false">IF($E359="Lente",$K359,"")</f>
        <v/>
      </c>
      <c r="N359" s="26" t="n">
        <f aca="false">IF($E359="Zomer",$K359,"")</f>
        <v>3.61553745812585</v>
      </c>
      <c r="O359" s="26" t="str">
        <f aca="false">IF($E359="Herfst",$K359,"")</f>
        <v/>
      </c>
    </row>
    <row r="360" customFormat="false" ht="15" hidden="false" customHeight="true" outlineLevel="0" collapsed="false">
      <c r="A360" s="23" t="n">
        <v>46256</v>
      </c>
      <c r="B360" s="24" t="n">
        <v>5.94</v>
      </c>
      <c r="C360" s="24" t="n">
        <v>21.17</v>
      </c>
      <c r="D360" s="24" t="n">
        <v>3.97</v>
      </c>
      <c r="E360" s="24" t="s">
        <v>24</v>
      </c>
      <c r="F360" s="24" t="n">
        <v>21.18</v>
      </c>
      <c r="G360" s="25" t="n">
        <v>14</v>
      </c>
      <c r="H360" s="24" t="n">
        <v>4.03</v>
      </c>
      <c r="I360" s="25" t="n">
        <v>11</v>
      </c>
      <c r="J360" s="24" t="n">
        <v>4.2</v>
      </c>
      <c r="K360" s="26" t="n">
        <f aca="false">MAX(0,MIN(Instellingen!$B$8*MIN(F360,Instellingen!$B$4*G360),MIN(H360,Instellingen!$B$4*I360)/Instellingen!$B$8))</f>
        <v>4.24799299015952</v>
      </c>
      <c r="L360" s="26" t="str">
        <f aca="false">IF($E360="Winter",$K360,"")</f>
        <v/>
      </c>
      <c r="M360" s="26" t="str">
        <f aca="false">IF($E360="Lente",$K360,"")</f>
        <v/>
      </c>
      <c r="N360" s="26" t="n">
        <f aca="false">IF($E360="Zomer",$K360,"")</f>
        <v>4.24799299015952</v>
      </c>
      <c r="O360" s="26" t="str">
        <f aca="false">IF($E360="Herfst",$K360,"")</f>
        <v/>
      </c>
    </row>
    <row r="361" customFormat="false" ht="15" hidden="false" customHeight="true" outlineLevel="0" collapsed="false">
      <c r="A361" s="23" t="n">
        <v>46257</v>
      </c>
      <c r="B361" s="24" t="n">
        <v>8.55</v>
      </c>
      <c r="C361" s="24" t="n">
        <v>17.05</v>
      </c>
      <c r="D361" s="24" t="n">
        <v>6.47</v>
      </c>
      <c r="E361" s="24" t="s">
        <v>24</v>
      </c>
      <c r="F361" s="24" t="n">
        <v>17.04</v>
      </c>
      <c r="G361" s="25" t="n">
        <v>12</v>
      </c>
      <c r="H361" s="24" t="n">
        <v>9.43</v>
      </c>
      <c r="I361" s="25" t="n">
        <v>12</v>
      </c>
      <c r="J361" s="24" t="n">
        <v>9.84</v>
      </c>
      <c r="K361" s="26" t="n">
        <f aca="false">MAX(0,MIN(Instellingen!$B$8*MIN(F361,Instellingen!$B$4*G361),MIN(H361,Instellingen!$B$4*I361)/Instellingen!$B$8))</f>
        <v>9.94009277846261</v>
      </c>
      <c r="L361" s="26" t="str">
        <f aca="false">IF($E361="Winter",$K361,"")</f>
        <v/>
      </c>
      <c r="M361" s="26" t="str">
        <f aca="false">IF($E361="Lente",$K361,"")</f>
        <v/>
      </c>
      <c r="N361" s="26" t="n">
        <f aca="false">IF($E361="Zomer",$K361,"")</f>
        <v>9.94009277846261</v>
      </c>
      <c r="O361" s="26" t="str">
        <f aca="false">IF($E361="Herfst",$K361,"")</f>
        <v/>
      </c>
    </row>
    <row r="362" customFormat="false" ht="15" hidden="false" customHeight="true" outlineLevel="0" collapsed="false">
      <c r="A362" s="23" t="n">
        <v>46258</v>
      </c>
      <c r="B362" s="24" t="n">
        <v>7.9</v>
      </c>
      <c r="C362" s="24" t="n">
        <v>25.72</v>
      </c>
      <c r="D362" s="24" t="n">
        <v>7.13</v>
      </c>
      <c r="E362" s="24" t="s">
        <v>24</v>
      </c>
      <c r="F362" s="24" t="n">
        <v>25.72</v>
      </c>
      <c r="G362" s="25" t="n">
        <v>13</v>
      </c>
      <c r="H362" s="24" t="n">
        <v>3.43</v>
      </c>
      <c r="I362" s="25" t="n">
        <v>10</v>
      </c>
      <c r="J362" s="24" t="n">
        <v>3.57</v>
      </c>
      <c r="K362" s="26" t="n">
        <f aca="false">MAX(0,MIN(Instellingen!$B$8*MIN(F362,Instellingen!$B$4*G362),MIN(H362,Instellingen!$B$4*I362)/Instellingen!$B$8))</f>
        <v>3.61553745812585</v>
      </c>
      <c r="L362" s="26" t="str">
        <f aca="false">IF($E362="Winter",$K362,"")</f>
        <v/>
      </c>
      <c r="M362" s="26" t="str">
        <f aca="false">IF($E362="Lente",$K362,"")</f>
        <v/>
      </c>
      <c r="N362" s="26" t="n">
        <f aca="false">IF($E362="Zomer",$K362,"")</f>
        <v>3.61553745812585</v>
      </c>
      <c r="O362" s="26" t="str">
        <f aca="false">IF($E362="Herfst",$K362,"")</f>
        <v/>
      </c>
    </row>
    <row r="363" customFormat="false" ht="15" hidden="false" customHeight="true" outlineLevel="0" collapsed="false">
      <c r="A363" s="23" t="n">
        <v>46259</v>
      </c>
      <c r="B363" s="24" t="n">
        <v>2.23</v>
      </c>
      <c r="C363" s="24" t="n">
        <v>23.27</v>
      </c>
      <c r="D363" s="24" t="n">
        <v>1.75</v>
      </c>
      <c r="E363" s="24" t="s">
        <v>24</v>
      </c>
      <c r="F363" s="24" t="n">
        <v>23.27</v>
      </c>
      <c r="G363" s="25" t="n">
        <v>14</v>
      </c>
      <c r="H363" s="24" t="n">
        <v>0.17</v>
      </c>
      <c r="I363" s="25" t="n">
        <v>16</v>
      </c>
      <c r="J363" s="24" t="n">
        <v>0.18</v>
      </c>
      <c r="K363" s="26" t="n">
        <f aca="false">MAX(0,MIN(Instellingen!$B$8*MIN(F363,Instellingen!$B$4*G363),MIN(H363,Instellingen!$B$4*I363)/Instellingen!$B$8))</f>
        <v>0.179195734076208</v>
      </c>
      <c r="L363" s="26" t="str">
        <f aca="false">IF($E363="Winter",$K363,"")</f>
        <v/>
      </c>
      <c r="M363" s="26" t="str">
        <f aca="false">IF($E363="Lente",$K363,"")</f>
        <v/>
      </c>
      <c r="N363" s="26" t="n">
        <f aca="false">IF($E363="Zomer",$K363,"")</f>
        <v>0.179195734076208</v>
      </c>
      <c r="O363" s="26" t="str">
        <f aca="false">IF($E363="Herfst",$K363,"")</f>
        <v/>
      </c>
    </row>
    <row r="364" customFormat="false" ht="15" hidden="false" customHeight="true" outlineLevel="0" collapsed="false">
      <c r="A364" s="23" t="n">
        <v>46260</v>
      </c>
      <c r="B364" s="24" t="n">
        <v>3.92</v>
      </c>
      <c r="C364" s="24" t="n">
        <v>23.46</v>
      </c>
      <c r="D364" s="24" t="n">
        <v>1.2</v>
      </c>
      <c r="E364" s="24" t="s">
        <v>24</v>
      </c>
      <c r="F364" s="24" t="n">
        <v>23.46</v>
      </c>
      <c r="G364" s="25" t="n">
        <v>8</v>
      </c>
      <c r="H364" s="24" t="n">
        <v>3.49</v>
      </c>
      <c r="I364" s="25" t="n">
        <v>10</v>
      </c>
      <c r="J364" s="24" t="n">
        <v>3.64</v>
      </c>
      <c r="K364" s="26" t="n">
        <f aca="false">MAX(0,MIN(Instellingen!$B$8*MIN(F364,Instellingen!$B$4*G364),MIN(H364,Instellingen!$B$4*I364)/Instellingen!$B$8))</f>
        <v>3.67878301132922</v>
      </c>
      <c r="L364" s="26" t="str">
        <f aca="false">IF($E364="Winter",$K364,"")</f>
        <v/>
      </c>
      <c r="M364" s="26" t="str">
        <f aca="false">IF($E364="Lente",$K364,"")</f>
        <v/>
      </c>
      <c r="N364" s="26" t="n">
        <f aca="false">IF($E364="Zomer",$K364,"")</f>
        <v>3.67878301132922</v>
      </c>
      <c r="O364" s="26" t="str">
        <f aca="false">IF($E364="Herfst",$K364,"")</f>
        <v/>
      </c>
    </row>
    <row r="365" customFormat="false" ht="15" hidden="false" customHeight="true" outlineLevel="0" collapsed="false">
      <c r="A365" s="23" t="n">
        <v>46261</v>
      </c>
      <c r="B365" s="24" t="n">
        <v>2.99</v>
      </c>
      <c r="C365" s="24" t="n">
        <v>5.51</v>
      </c>
      <c r="D365" s="24" t="n">
        <v>2.28</v>
      </c>
      <c r="E365" s="24" t="s">
        <v>24</v>
      </c>
      <c r="F365" s="24" t="n">
        <v>5.51</v>
      </c>
      <c r="G365" s="25" t="n">
        <v>7</v>
      </c>
      <c r="H365" s="24" t="n">
        <v>0</v>
      </c>
      <c r="I365" s="25" t="n">
        <v>22</v>
      </c>
      <c r="J365" s="24" t="n">
        <v>0</v>
      </c>
      <c r="K365" s="26" t="n">
        <f aca="false">MAX(0,MIN(Instellingen!$B$8*MIN(F365,Instellingen!$B$4*G365),MIN(H365,Instellingen!$B$4*I365)/Instellingen!$B$8))</f>
        <v>0</v>
      </c>
      <c r="L365" s="26" t="str">
        <f aca="false">IF($E365="Winter",$K365,"")</f>
        <v/>
      </c>
      <c r="M365" s="26" t="str">
        <f aca="false">IF($E365="Lente",$K365,"")</f>
        <v/>
      </c>
      <c r="N365" s="26" t="n">
        <f aca="false">IF($E365="Zomer",$K365,"")</f>
        <v>0</v>
      </c>
      <c r="O365" s="26" t="str">
        <f aca="false">IF($E365="Herfst",$K365,"")</f>
        <v/>
      </c>
    </row>
    <row r="366" customFormat="false" ht="15" hidden="false" customHeight="true" outlineLevel="0" collapsed="false">
      <c r="A366" s="23" t="n">
        <v>46262</v>
      </c>
      <c r="B366" s="24" t="n">
        <v>0</v>
      </c>
      <c r="C366" s="24" t="n">
        <v>0</v>
      </c>
      <c r="D366" s="24" t="n">
        <v>0</v>
      </c>
      <c r="E366" s="24" t="s">
        <v>24</v>
      </c>
      <c r="F366" s="24" t="n">
        <v>0</v>
      </c>
      <c r="G366" s="25" t="n">
        <v>0</v>
      </c>
      <c r="H366" s="24" t="n">
        <v>0</v>
      </c>
      <c r="I366" s="25" t="n">
        <v>0</v>
      </c>
      <c r="J366" s="24" t="n">
        <v>0</v>
      </c>
      <c r="K366" s="26" t="n">
        <f aca="false">MAX(0,MIN(Instellingen!$B$8*MIN(F366,Instellingen!$B$4*G366),MIN(H366,Instellingen!$B$4*I366)/Instellingen!$B$8))</f>
        <v>0</v>
      </c>
      <c r="L366" s="26" t="str">
        <f aca="false">IF($E366="Winter",$K366,"")</f>
        <v/>
      </c>
      <c r="M366" s="26" t="str">
        <f aca="false">IF($E366="Lente",$K366,"")</f>
        <v/>
      </c>
      <c r="N366" s="26" t="n">
        <f aca="false">IF($E366="Zomer",$K366,"")</f>
        <v>0</v>
      </c>
      <c r="O366" s="26" t="str">
        <f aca="false">IF($E366="Herfst",$K366,"")</f>
        <v/>
      </c>
    </row>
    <row r="367" customFormat="false" ht="15" hidden="false" customHeight="true" outlineLevel="0" collapsed="false">
      <c r="A367" s="23" t="n">
        <v>46263</v>
      </c>
      <c r="B367" s="24" t="n">
        <v>15.59</v>
      </c>
      <c r="C367" s="24" t="n">
        <v>23.41</v>
      </c>
      <c r="D367" s="24" t="n">
        <v>3.55</v>
      </c>
      <c r="E367" s="24" t="s">
        <v>24</v>
      </c>
      <c r="F367" s="24" t="n">
        <v>23.41</v>
      </c>
      <c r="G367" s="25" t="n">
        <v>7</v>
      </c>
      <c r="H367" s="24" t="n">
        <v>5.32</v>
      </c>
      <c r="I367" s="25" t="n">
        <v>13</v>
      </c>
      <c r="J367" s="24" t="n">
        <v>5.55</v>
      </c>
      <c r="K367" s="26" t="n">
        <f aca="false">MAX(0,MIN(Instellingen!$B$8*MIN(F367,Instellingen!$B$4*G367),MIN(H367,Instellingen!$B$4*I367)/Instellingen!$B$8))</f>
        <v>5.60777238403193</v>
      </c>
      <c r="L367" s="26" t="str">
        <f aca="false">IF($E367="Winter",$K367,"")</f>
        <v/>
      </c>
      <c r="M367" s="26" t="str">
        <f aca="false">IF($E367="Lente",$K367,"")</f>
        <v/>
      </c>
      <c r="N367" s="26" t="n">
        <f aca="false">IF($E367="Zomer",$K367,"")</f>
        <v>5.60777238403193</v>
      </c>
      <c r="O367" s="26" t="str">
        <f aca="false">IF($E367="Herfst",$K367,"")</f>
        <v/>
      </c>
    </row>
    <row r="368" customFormat="false" ht="15" hidden="false" customHeight="true" outlineLevel="0" collapsed="false">
      <c r="A368" s="23" t="n">
        <v>46264</v>
      </c>
      <c r="B368" s="24" t="n">
        <v>7.67</v>
      </c>
      <c r="C368" s="24" t="n">
        <v>7.18</v>
      </c>
      <c r="D368" s="24" t="n">
        <v>4.53</v>
      </c>
      <c r="E368" s="24" t="s">
        <v>24</v>
      </c>
      <c r="F368" s="24" t="n">
        <v>7.18</v>
      </c>
      <c r="G368" s="25" t="n">
        <v>11</v>
      </c>
      <c r="H368" s="24" t="n">
        <v>4.43</v>
      </c>
      <c r="I368" s="25" t="n">
        <v>12</v>
      </c>
      <c r="J368" s="24" t="n">
        <v>4.62</v>
      </c>
      <c r="K368" s="26" t="n">
        <f aca="false">MAX(0,MIN(Instellingen!$B$8*MIN(F368,Instellingen!$B$4*G368),MIN(H368,Instellingen!$B$4*I368)/Instellingen!$B$8))</f>
        <v>4.66963001151531</v>
      </c>
      <c r="L368" s="26" t="str">
        <f aca="false">IF($E368="Winter",$K368,"")</f>
        <v/>
      </c>
      <c r="M368" s="26" t="str">
        <f aca="false">IF($E368="Lente",$K368,"")</f>
        <v/>
      </c>
      <c r="N368" s="26" t="n">
        <f aca="false">IF($E368="Zomer",$K368,"")</f>
        <v>4.66963001151531</v>
      </c>
      <c r="O368" s="26" t="str">
        <f aca="false">IF($E368="Herfst",$K368,"")</f>
        <v/>
      </c>
    </row>
    <row r="369" customFormat="false" ht="15" hidden="false" customHeight="true" outlineLevel="0" collapsed="false">
      <c r="A369" s="23" t="n">
        <v>46265</v>
      </c>
      <c r="B369" s="24" t="n">
        <v>5.75</v>
      </c>
      <c r="C369" s="24" t="n">
        <v>16.49</v>
      </c>
      <c r="D369" s="24" t="n">
        <v>4.16</v>
      </c>
      <c r="E369" s="24" t="s">
        <v>24</v>
      </c>
      <c r="F369" s="24" t="n">
        <v>16.49</v>
      </c>
      <c r="G369" s="25" t="n">
        <v>13</v>
      </c>
      <c r="H369" s="24" t="n">
        <v>4.35</v>
      </c>
      <c r="I369" s="25" t="n">
        <v>12</v>
      </c>
      <c r="J369" s="24" t="n">
        <v>4.54</v>
      </c>
      <c r="K369" s="26" t="n">
        <f aca="false">MAX(0,MIN(Instellingen!$B$8*MIN(F369,Instellingen!$B$4*G369),MIN(H369,Instellingen!$B$4*I369)/Instellingen!$B$8))</f>
        <v>4.58530260724415</v>
      </c>
      <c r="L369" s="26" t="str">
        <f aca="false">IF($E369="Winter",$K369,"")</f>
        <v/>
      </c>
      <c r="M369" s="26" t="str">
        <f aca="false">IF($E369="Lente",$K369,"")</f>
        <v/>
      </c>
      <c r="N369" s="26" t="n">
        <f aca="false">IF($E369="Zomer",$K369,"")</f>
        <v>4.58530260724415</v>
      </c>
      <c r="O369" s="26" t="str">
        <f aca="false">IF($E369="Herfst",$K369,"")</f>
        <v/>
      </c>
    </row>
    <row r="370" customFormat="false" ht="15" hidden="false" customHeight="true" outlineLevel="0" collapsed="false">
      <c r="A370" s="23" t="n">
        <v>46266</v>
      </c>
      <c r="B370" s="24" t="n">
        <v>3.3</v>
      </c>
      <c r="C370" s="24" t="n">
        <v>25.03</v>
      </c>
      <c r="D370" s="24" t="n">
        <v>2.66</v>
      </c>
      <c r="E370" s="24" t="s">
        <v>25</v>
      </c>
      <c r="F370" s="24" t="n">
        <v>25.03</v>
      </c>
      <c r="G370" s="25" t="n">
        <v>12</v>
      </c>
      <c r="H370" s="24" t="n">
        <v>2.43</v>
      </c>
      <c r="I370" s="25" t="n">
        <v>12</v>
      </c>
      <c r="J370" s="24" t="n">
        <v>2.54</v>
      </c>
      <c r="K370" s="26" t="n">
        <f aca="false">MAX(0,MIN(Instellingen!$B$8*MIN(F370,Instellingen!$B$4*G370),MIN(H370,Instellingen!$B$4*I370)/Instellingen!$B$8))</f>
        <v>2.56144490473639</v>
      </c>
      <c r="L370" s="26" t="str">
        <f aca="false">IF($E370="Winter",$K370,"")</f>
        <v/>
      </c>
      <c r="M370" s="26" t="str">
        <f aca="false">IF($E370="Lente",$K370,"")</f>
        <v/>
      </c>
      <c r="N370" s="26" t="str">
        <f aca="false">IF($E370="Zomer",$K370,"")</f>
        <v/>
      </c>
      <c r="O370" s="26" t="n">
        <f aca="false">IF($E370="Herfst",$K370,"")</f>
        <v>2.56144490473639</v>
      </c>
    </row>
    <row r="371" customFormat="false" ht="15" hidden="false" customHeight="true" outlineLevel="0" collapsed="false">
      <c r="A371" s="23" t="n">
        <v>46267</v>
      </c>
      <c r="B371" s="24" t="n">
        <v>10</v>
      </c>
      <c r="C371" s="24" t="n">
        <v>6.95</v>
      </c>
      <c r="D371" s="24" t="n">
        <v>8.21</v>
      </c>
      <c r="E371" s="24" t="s">
        <v>25</v>
      </c>
      <c r="F371" s="24" t="n">
        <v>6.95</v>
      </c>
      <c r="G371" s="25" t="n">
        <v>9</v>
      </c>
      <c r="H371" s="24" t="n">
        <v>12.85</v>
      </c>
      <c r="I371" s="25" t="n">
        <v>17</v>
      </c>
      <c r="J371" s="24" t="n">
        <v>6.52</v>
      </c>
      <c r="K371" s="26" t="n">
        <f aca="false">MAX(0,MIN(Instellingen!$B$8*MIN(F371,Instellingen!$B$4*G371),MIN(H371,Instellingen!$B$4*I371)/Instellingen!$B$8))</f>
        <v>6.59334892145107</v>
      </c>
      <c r="L371" s="26" t="str">
        <f aca="false">IF($E371="Winter",$K371,"")</f>
        <v/>
      </c>
      <c r="M371" s="26" t="str">
        <f aca="false">IF($E371="Lente",$K371,"")</f>
        <v/>
      </c>
      <c r="N371" s="26" t="str">
        <f aca="false">IF($E371="Zomer",$K371,"")</f>
        <v/>
      </c>
      <c r="O371" s="26" t="n">
        <f aca="false">IF($E371="Herfst",$K371,"")</f>
        <v>6.59334892145107</v>
      </c>
    </row>
    <row r="372" customFormat="false" ht="15" hidden="false" customHeight="true" outlineLevel="0" collapsed="false">
      <c r="A372" s="23" t="n">
        <v>46268</v>
      </c>
      <c r="B372" s="24" t="n">
        <v>11.31</v>
      </c>
      <c r="C372" s="24" t="n">
        <v>10.92</v>
      </c>
      <c r="D372" s="24" t="n">
        <v>9.87</v>
      </c>
      <c r="E372" s="24" t="s">
        <v>25</v>
      </c>
      <c r="F372" s="24" t="n">
        <v>10.92</v>
      </c>
      <c r="G372" s="25" t="n">
        <v>10</v>
      </c>
      <c r="H372" s="24" t="n">
        <v>7.02</v>
      </c>
      <c r="I372" s="25" t="n">
        <v>14</v>
      </c>
      <c r="J372" s="24" t="n">
        <v>7.33</v>
      </c>
      <c r="K372" s="26" t="n">
        <f aca="false">MAX(0,MIN(Instellingen!$B$8*MIN(F372,Instellingen!$B$4*G372),MIN(H372,Instellingen!$B$4*I372)/Instellingen!$B$8))</f>
        <v>7.39972972479401</v>
      </c>
      <c r="L372" s="26" t="str">
        <f aca="false">IF($E372="Winter",$K372,"")</f>
        <v/>
      </c>
      <c r="M372" s="26" t="str">
        <f aca="false">IF($E372="Lente",$K372,"")</f>
        <v/>
      </c>
      <c r="N372" s="26" t="str">
        <f aca="false">IF($E372="Zomer",$K372,"")</f>
        <v/>
      </c>
      <c r="O372" s="26" t="n">
        <f aca="false">IF($E372="Herfst",$K372,"")</f>
        <v>7.39972972479401</v>
      </c>
    </row>
    <row r="373" customFormat="false" ht="15" hidden="false" customHeight="true" outlineLevel="0" collapsed="false">
      <c r="A373" s="23" t="n">
        <v>46269</v>
      </c>
      <c r="B373" s="24" t="n">
        <v>6.52</v>
      </c>
      <c r="C373" s="24" t="n">
        <v>4.6</v>
      </c>
      <c r="D373" s="24" t="n">
        <v>6.08</v>
      </c>
      <c r="E373" s="24" t="s">
        <v>25</v>
      </c>
      <c r="F373" s="24" t="n">
        <v>4.6</v>
      </c>
      <c r="G373" s="25" t="n">
        <v>9</v>
      </c>
      <c r="H373" s="24" t="n">
        <v>4.22</v>
      </c>
      <c r="I373" s="25" t="n">
        <v>12</v>
      </c>
      <c r="J373" s="24" t="n">
        <v>4.32</v>
      </c>
      <c r="K373" s="26" t="n">
        <f aca="false">MAX(0,MIN(Instellingen!$B$8*MIN(F373,Instellingen!$B$4*G373),MIN(H373,Instellingen!$B$4*I373)/Instellingen!$B$8))</f>
        <v>4.36394317103236</v>
      </c>
      <c r="L373" s="26" t="str">
        <f aca="false">IF($E373="Winter",$K373,"")</f>
        <v/>
      </c>
      <c r="M373" s="26" t="str">
        <f aca="false">IF($E373="Lente",$K373,"")</f>
        <v/>
      </c>
      <c r="N373" s="26" t="str">
        <f aca="false">IF($E373="Zomer",$K373,"")</f>
        <v/>
      </c>
      <c r="O373" s="26" t="n">
        <f aca="false">IF($E373="Herfst",$K373,"")</f>
        <v>4.36394317103236</v>
      </c>
    </row>
    <row r="374" customFormat="false" ht="15" hidden="false" customHeight="true" outlineLevel="0" collapsed="false">
      <c r="A374" s="23" t="n">
        <v>46270</v>
      </c>
      <c r="B374" s="24" t="n">
        <v>11.06</v>
      </c>
      <c r="C374" s="24" t="n">
        <v>17.19</v>
      </c>
      <c r="D374" s="24" t="n">
        <v>8.98</v>
      </c>
      <c r="E374" s="24" t="s">
        <v>25</v>
      </c>
      <c r="F374" s="24" t="n">
        <v>17.19</v>
      </c>
      <c r="G374" s="25" t="n">
        <v>12</v>
      </c>
      <c r="H374" s="24" t="n">
        <v>10</v>
      </c>
      <c r="I374" s="25" t="n">
        <v>13</v>
      </c>
      <c r="J374" s="24" t="n">
        <v>9.3</v>
      </c>
      <c r="K374" s="26" t="n">
        <f aca="false">MAX(0,MIN(Instellingen!$B$8*MIN(F374,Instellingen!$B$4*G374),MIN(H374,Instellingen!$B$4*I374)/Instellingen!$B$8))</f>
        <v>10.5409255338946</v>
      </c>
      <c r="L374" s="26" t="str">
        <f aca="false">IF($E374="Winter",$K374,"")</f>
        <v/>
      </c>
      <c r="M374" s="26" t="str">
        <f aca="false">IF($E374="Lente",$K374,"")</f>
        <v/>
      </c>
      <c r="N374" s="26" t="str">
        <f aca="false">IF($E374="Zomer",$K374,"")</f>
        <v/>
      </c>
      <c r="O374" s="26" t="n">
        <f aca="false">IF($E374="Herfst",$K374,"")</f>
        <v>10.5409255338946</v>
      </c>
    </row>
    <row r="375" customFormat="false" ht="15" hidden="false" customHeight="true" outlineLevel="0" collapsed="false">
      <c r="A375" s="23" t="n">
        <v>46271</v>
      </c>
      <c r="B375" s="24" t="n">
        <v>5.74</v>
      </c>
      <c r="C375" s="24" t="n">
        <v>23.19</v>
      </c>
      <c r="D375" s="24" t="n">
        <v>5.16</v>
      </c>
      <c r="E375" s="24" t="s">
        <v>25</v>
      </c>
      <c r="F375" s="24" t="n">
        <v>23.19</v>
      </c>
      <c r="G375" s="25" t="n">
        <v>12</v>
      </c>
      <c r="H375" s="24" t="n">
        <v>4.92</v>
      </c>
      <c r="I375" s="25" t="n">
        <v>11</v>
      </c>
      <c r="J375" s="24" t="n">
        <v>5.13</v>
      </c>
      <c r="K375" s="26" t="n">
        <f aca="false">MAX(0,MIN(Instellingen!$B$8*MIN(F375,Instellingen!$B$4*G375),MIN(H375,Instellingen!$B$4*I375)/Instellingen!$B$8))</f>
        <v>5.18613536267614</v>
      </c>
      <c r="L375" s="26" t="str">
        <f aca="false">IF($E375="Winter",$K375,"")</f>
        <v/>
      </c>
      <c r="M375" s="26" t="str">
        <f aca="false">IF($E375="Lente",$K375,"")</f>
        <v/>
      </c>
      <c r="N375" s="26" t="str">
        <f aca="false">IF($E375="Zomer",$K375,"")</f>
        <v/>
      </c>
      <c r="O375" s="26" t="n">
        <f aca="false">IF($E375="Herfst",$K375,"")</f>
        <v>5.18613536267614</v>
      </c>
    </row>
    <row r="376" customFormat="false" ht="15" hidden="false" customHeight="true" outlineLevel="0" collapsed="false">
      <c r="A376" s="23" t="n">
        <v>46272</v>
      </c>
      <c r="B376" s="24" t="n">
        <v>9.28</v>
      </c>
      <c r="C376" s="24" t="n">
        <v>21</v>
      </c>
      <c r="D376" s="24" t="n">
        <v>6.87</v>
      </c>
      <c r="E376" s="24" t="s">
        <v>25</v>
      </c>
      <c r="F376" s="24" t="n">
        <v>21</v>
      </c>
      <c r="G376" s="25" t="n">
        <v>12</v>
      </c>
      <c r="H376" s="24" t="n">
        <v>6.66</v>
      </c>
      <c r="I376" s="25" t="n">
        <v>13</v>
      </c>
      <c r="J376" s="24" t="n">
        <v>6.95</v>
      </c>
      <c r="K376" s="26" t="n">
        <f aca="false">MAX(0,MIN(Instellingen!$B$8*MIN(F376,Instellingen!$B$4*G376),MIN(H376,Instellingen!$B$4*I376)/Instellingen!$B$8))</f>
        <v>7.0202564055738</v>
      </c>
      <c r="L376" s="26" t="str">
        <f aca="false">IF($E376="Winter",$K376,"")</f>
        <v/>
      </c>
      <c r="M376" s="26" t="str">
        <f aca="false">IF($E376="Lente",$K376,"")</f>
        <v/>
      </c>
      <c r="N376" s="26" t="str">
        <f aca="false">IF($E376="Zomer",$K376,"")</f>
        <v/>
      </c>
      <c r="O376" s="26" t="n">
        <f aca="false">IF($E376="Herfst",$K376,"")</f>
        <v>7.0202564055738</v>
      </c>
    </row>
    <row r="377" customFormat="false" ht="15" hidden="false" customHeight="true" outlineLevel="0" collapsed="false">
      <c r="A377" s="23" t="n">
        <v>46273</v>
      </c>
      <c r="B377" s="24" t="n">
        <v>10.45</v>
      </c>
      <c r="C377" s="24" t="n">
        <v>5.95</v>
      </c>
      <c r="D377" s="24" t="n">
        <v>9.61</v>
      </c>
      <c r="E377" s="24" t="s">
        <v>25</v>
      </c>
      <c r="F377" s="24" t="n">
        <v>5.95</v>
      </c>
      <c r="G377" s="25" t="n">
        <v>9</v>
      </c>
      <c r="H377" s="24" t="n">
        <v>10.1</v>
      </c>
      <c r="I377" s="25" t="n">
        <v>15</v>
      </c>
      <c r="J377" s="24" t="n">
        <v>5.59</v>
      </c>
      <c r="K377" s="26" t="n">
        <f aca="false">MAX(0,MIN(Instellingen!$B$8*MIN(F377,Instellingen!$B$4*G377),MIN(H377,Instellingen!$B$4*I377)/Instellingen!$B$8))</f>
        <v>5.64466562340056</v>
      </c>
      <c r="L377" s="26" t="str">
        <f aca="false">IF($E377="Winter",$K377,"")</f>
        <v/>
      </c>
      <c r="M377" s="26" t="str">
        <f aca="false">IF($E377="Lente",$K377,"")</f>
        <v/>
      </c>
      <c r="N377" s="26" t="str">
        <f aca="false">IF($E377="Zomer",$K377,"")</f>
        <v/>
      </c>
      <c r="O377" s="26" t="n">
        <f aca="false">IF($E377="Herfst",$K377,"")</f>
        <v>5.64466562340056</v>
      </c>
    </row>
    <row r="378" customFormat="false" ht="15" hidden="false" customHeight="true" outlineLevel="0" collapsed="false">
      <c r="A378" s="23" t="n">
        <v>46274</v>
      </c>
      <c r="B378" s="24" t="n">
        <v>7.26</v>
      </c>
      <c r="C378" s="24" t="n">
        <v>12.2</v>
      </c>
      <c r="D378" s="24" t="n">
        <v>5.91</v>
      </c>
      <c r="E378" s="24" t="s">
        <v>25</v>
      </c>
      <c r="F378" s="24" t="n">
        <v>12.2</v>
      </c>
      <c r="G378" s="25" t="n">
        <v>11</v>
      </c>
      <c r="H378" s="24" t="n">
        <v>5.24</v>
      </c>
      <c r="I378" s="25" t="n">
        <v>12</v>
      </c>
      <c r="J378" s="24" t="n">
        <v>5.47</v>
      </c>
      <c r="K378" s="26" t="n">
        <f aca="false">MAX(0,MIN(Instellingen!$B$8*MIN(F378,Instellingen!$B$4*G378),MIN(H378,Instellingen!$B$4*I378)/Instellingen!$B$8))</f>
        <v>5.52344497976077</v>
      </c>
      <c r="L378" s="26" t="str">
        <f aca="false">IF($E378="Winter",$K378,"")</f>
        <v/>
      </c>
      <c r="M378" s="26" t="str">
        <f aca="false">IF($E378="Lente",$K378,"")</f>
        <v/>
      </c>
      <c r="N378" s="26" t="str">
        <f aca="false">IF($E378="Zomer",$K378,"")</f>
        <v/>
      </c>
      <c r="O378" s="26" t="n">
        <f aca="false">IF($E378="Herfst",$K378,"")</f>
        <v>5.52344497976077</v>
      </c>
    </row>
    <row r="379" customFormat="false" ht="15" hidden="false" customHeight="true" outlineLevel="0" collapsed="false">
      <c r="A379" s="23" t="n">
        <v>46275</v>
      </c>
      <c r="B379" s="24" t="n">
        <v>5.87</v>
      </c>
      <c r="C379" s="24" t="n">
        <v>18.11</v>
      </c>
      <c r="D379" s="24" t="n">
        <v>3.83</v>
      </c>
      <c r="E379" s="24" t="s">
        <v>25</v>
      </c>
      <c r="F379" s="24" t="n">
        <v>18.13</v>
      </c>
      <c r="G379" s="25" t="n">
        <v>13</v>
      </c>
      <c r="H379" s="24" t="n">
        <v>5.17</v>
      </c>
      <c r="I379" s="25" t="n">
        <v>13</v>
      </c>
      <c r="J379" s="24" t="n">
        <v>5.39</v>
      </c>
      <c r="K379" s="26" t="n">
        <f aca="false">MAX(0,MIN(Instellingen!$B$8*MIN(F379,Instellingen!$B$4*G379),MIN(H379,Instellingen!$B$4*I379)/Instellingen!$B$8))</f>
        <v>5.44965850102351</v>
      </c>
      <c r="L379" s="26" t="str">
        <f aca="false">IF($E379="Winter",$K379,"")</f>
        <v/>
      </c>
      <c r="M379" s="26" t="str">
        <f aca="false">IF($E379="Lente",$K379,"")</f>
        <v/>
      </c>
      <c r="N379" s="26" t="str">
        <f aca="false">IF($E379="Zomer",$K379,"")</f>
        <v/>
      </c>
      <c r="O379" s="26" t="n">
        <f aca="false">IF($E379="Herfst",$K379,"")</f>
        <v>5.44965850102351</v>
      </c>
    </row>
    <row r="380" customFormat="false" ht="15" hidden="false" customHeight="true" outlineLevel="0" collapsed="false">
      <c r="A380" s="23" t="n">
        <v>46276</v>
      </c>
      <c r="B380" s="24" t="n">
        <v>7.49</v>
      </c>
      <c r="C380" s="24" t="n">
        <v>5.85</v>
      </c>
      <c r="D380" s="24" t="n">
        <v>5.17</v>
      </c>
      <c r="E380" s="24" t="s">
        <v>25</v>
      </c>
      <c r="F380" s="24" t="n">
        <v>5.84</v>
      </c>
      <c r="G380" s="25" t="n">
        <v>11</v>
      </c>
      <c r="H380" s="24" t="n">
        <v>4.08</v>
      </c>
      <c r="I380" s="25" t="n">
        <v>12</v>
      </c>
      <c r="J380" s="24" t="n">
        <v>4.26</v>
      </c>
      <c r="K380" s="26" t="n">
        <f aca="false">MAX(0,MIN(Instellingen!$B$8*MIN(F380,Instellingen!$B$4*G380),MIN(H380,Instellingen!$B$4*I380)/Instellingen!$B$8))</f>
        <v>4.300697617829</v>
      </c>
      <c r="L380" s="26" t="str">
        <f aca="false">IF($E380="Winter",$K380,"")</f>
        <v/>
      </c>
      <c r="M380" s="26" t="str">
        <f aca="false">IF($E380="Lente",$K380,"")</f>
        <v/>
      </c>
      <c r="N380" s="26" t="str">
        <f aca="false">IF($E380="Zomer",$K380,"")</f>
        <v/>
      </c>
      <c r="O380" s="26" t="n">
        <f aca="false">IF($E380="Herfst",$K380,"")</f>
        <v>4.300697617829</v>
      </c>
    </row>
    <row r="381" customFormat="false" ht="15" hidden="false" customHeight="true" outlineLevel="0" collapsed="false">
      <c r="A381" s="23" t="n">
        <v>46277</v>
      </c>
      <c r="B381" s="24" t="n">
        <v>7.88</v>
      </c>
      <c r="C381" s="24" t="n">
        <v>8.88</v>
      </c>
      <c r="D381" s="24" t="n">
        <v>5.24</v>
      </c>
      <c r="E381" s="24" t="s">
        <v>25</v>
      </c>
      <c r="F381" s="24" t="n">
        <v>8.88</v>
      </c>
      <c r="G381" s="25" t="n">
        <v>11</v>
      </c>
      <c r="H381" s="24" t="n">
        <v>5.79</v>
      </c>
      <c r="I381" s="25" t="n">
        <v>17</v>
      </c>
      <c r="J381" s="24" t="n">
        <v>6.04</v>
      </c>
      <c r="K381" s="26" t="n">
        <f aca="false">MAX(0,MIN(Instellingen!$B$8*MIN(F381,Instellingen!$B$4*G381),MIN(H381,Instellingen!$B$4*I381)/Instellingen!$B$8))</f>
        <v>6.10319588412497</v>
      </c>
      <c r="L381" s="26" t="str">
        <f aca="false">IF($E381="Winter",$K381,"")</f>
        <v/>
      </c>
      <c r="M381" s="26" t="str">
        <f aca="false">IF($E381="Lente",$K381,"")</f>
        <v/>
      </c>
      <c r="N381" s="26" t="str">
        <f aca="false">IF($E381="Zomer",$K381,"")</f>
        <v/>
      </c>
      <c r="O381" s="26" t="n">
        <f aca="false">IF($E381="Herfst",$K381,"")</f>
        <v>6.10319588412497</v>
      </c>
    </row>
    <row r="382" customFormat="false" ht="15" hidden="false" customHeight="true" outlineLevel="0" collapsed="false">
      <c r="A382" s="23" t="n">
        <v>46278</v>
      </c>
      <c r="B382" s="24" t="n">
        <v>11.96</v>
      </c>
      <c r="C382" s="24" t="n">
        <v>3.78</v>
      </c>
      <c r="D382" s="24" t="n">
        <v>8.37</v>
      </c>
      <c r="E382" s="24" t="s">
        <v>25</v>
      </c>
      <c r="F382" s="24" t="n">
        <v>3.78</v>
      </c>
      <c r="G382" s="25" t="n">
        <v>7</v>
      </c>
      <c r="H382" s="24" t="n">
        <v>10.73</v>
      </c>
      <c r="I382" s="25" t="n">
        <v>13</v>
      </c>
      <c r="J382" s="24" t="n">
        <v>3.55</v>
      </c>
      <c r="K382" s="26" t="n">
        <f aca="false">MAX(0,MIN(Instellingen!$B$8*MIN(F382,Instellingen!$B$4*G382),MIN(H382,Instellingen!$B$4*I382)/Instellingen!$B$8))</f>
        <v>3.58602286663094</v>
      </c>
      <c r="L382" s="26" t="str">
        <f aca="false">IF($E382="Winter",$K382,"")</f>
        <v/>
      </c>
      <c r="M382" s="26" t="str">
        <f aca="false">IF($E382="Lente",$K382,"")</f>
        <v/>
      </c>
      <c r="N382" s="26" t="str">
        <f aca="false">IF($E382="Zomer",$K382,"")</f>
        <v/>
      </c>
      <c r="O382" s="26" t="n">
        <f aca="false">IF($E382="Herfst",$K382,"")</f>
        <v>3.58602286663094</v>
      </c>
    </row>
    <row r="383" customFormat="false" ht="15" hidden="false" customHeight="true" outlineLevel="0" collapsed="false">
      <c r="A383" s="23" t="n">
        <v>46279</v>
      </c>
      <c r="B383" s="24" t="n">
        <v>12.18</v>
      </c>
      <c r="C383" s="24" t="n">
        <v>14.33</v>
      </c>
      <c r="D383" s="24" t="n">
        <v>10.34</v>
      </c>
      <c r="E383" s="24" t="s">
        <v>25</v>
      </c>
      <c r="F383" s="24" t="n">
        <v>14.33</v>
      </c>
      <c r="G383" s="25" t="n">
        <v>11</v>
      </c>
      <c r="H383" s="24" t="n">
        <v>7.62</v>
      </c>
      <c r="I383" s="25" t="n">
        <v>13</v>
      </c>
      <c r="J383" s="24" t="n">
        <v>7.96</v>
      </c>
      <c r="K383" s="26" t="n">
        <f aca="false">MAX(0,MIN(Instellingen!$B$8*MIN(F383,Instellingen!$B$4*G383),MIN(H383,Instellingen!$B$4*I383)/Instellingen!$B$8))</f>
        <v>8.03218525682769</v>
      </c>
      <c r="L383" s="26" t="str">
        <f aca="false">IF($E383="Winter",$K383,"")</f>
        <v/>
      </c>
      <c r="M383" s="26" t="str">
        <f aca="false">IF($E383="Lente",$K383,"")</f>
        <v/>
      </c>
      <c r="N383" s="26" t="str">
        <f aca="false">IF($E383="Zomer",$K383,"")</f>
        <v/>
      </c>
      <c r="O383" s="26" t="n">
        <f aca="false">IF($E383="Herfst",$K383,"")</f>
        <v>8.03218525682769</v>
      </c>
    </row>
    <row r="384" customFormat="false" ht="15" hidden="false" customHeight="true" outlineLevel="0" collapsed="false">
      <c r="A384" s="23" t="n">
        <v>46280</v>
      </c>
      <c r="B384" s="24" t="n">
        <v>5.67</v>
      </c>
      <c r="C384" s="24" t="n">
        <v>13.29</v>
      </c>
      <c r="D384" s="24" t="n">
        <v>5.11</v>
      </c>
      <c r="E384" s="24" t="s">
        <v>25</v>
      </c>
      <c r="F384" s="24" t="n">
        <v>13.29</v>
      </c>
      <c r="G384" s="25" t="n">
        <v>11</v>
      </c>
      <c r="H384" s="24" t="n">
        <v>5.01</v>
      </c>
      <c r="I384" s="25" t="n">
        <v>13</v>
      </c>
      <c r="J384" s="24" t="n">
        <v>5.23</v>
      </c>
      <c r="K384" s="26" t="n">
        <f aca="false">MAX(0,MIN(Instellingen!$B$8*MIN(F384,Instellingen!$B$4*G384),MIN(H384,Instellingen!$B$4*I384)/Instellingen!$B$8))</f>
        <v>5.28100369248119</v>
      </c>
      <c r="L384" s="26" t="str">
        <f aca="false">IF($E384="Winter",$K384,"")</f>
        <v/>
      </c>
      <c r="M384" s="26" t="str">
        <f aca="false">IF($E384="Lente",$K384,"")</f>
        <v/>
      </c>
      <c r="N384" s="26" t="str">
        <f aca="false">IF($E384="Zomer",$K384,"")</f>
        <v/>
      </c>
      <c r="O384" s="26" t="n">
        <f aca="false">IF($E384="Herfst",$K384,"")</f>
        <v>5.28100369248119</v>
      </c>
    </row>
    <row r="385" customFormat="false" ht="15" hidden="false" customHeight="true" outlineLevel="0" collapsed="false">
      <c r="A385" s="23" t="n">
        <v>46281</v>
      </c>
      <c r="B385" s="24" t="n">
        <v>9.39</v>
      </c>
      <c r="C385" s="24" t="n">
        <v>13.15</v>
      </c>
      <c r="D385" s="24" t="n">
        <v>5.92</v>
      </c>
      <c r="E385" s="24" t="s">
        <v>25</v>
      </c>
      <c r="F385" s="24" t="n">
        <v>13.16</v>
      </c>
      <c r="G385" s="25" t="n">
        <v>11</v>
      </c>
      <c r="H385" s="24" t="n">
        <v>6.17</v>
      </c>
      <c r="I385" s="25" t="n">
        <v>14</v>
      </c>
      <c r="J385" s="24" t="n">
        <v>6.43</v>
      </c>
      <c r="K385" s="26" t="n">
        <f aca="false">MAX(0,MIN(Instellingen!$B$8*MIN(F385,Instellingen!$B$4*G385),MIN(H385,Instellingen!$B$4*I385)/Instellingen!$B$8))</f>
        <v>6.50375105441297</v>
      </c>
      <c r="L385" s="26" t="str">
        <f aca="false">IF($E385="Winter",$K385,"")</f>
        <v/>
      </c>
      <c r="M385" s="26" t="str">
        <f aca="false">IF($E385="Lente",$K385,"")</f>
        <v/>
      </c>
      <c r="N385" s="26" t="str">
        <f aca="false">IF($E385="Zomer",$K385,"")</f>
        <v/>
      </c>
      <c r="O385" s="26" t="n">
        <f aca="false">IF($E385="Herfst",$K385,"")</f>
        <v>6.50375105441297</v>
      </c>
    </row>
    <row r="386" customFormat="false" ht="15" hidden="false" customHeight="true" outlineLevel="0" collapsed="false">
      <c r="A386" s="23" t="n">
        <v>46282</v>
      </c>
      <c r="B386" s="24" t="n">
        <v>6.57</v>
      </c>
      <c r="C386" s="24" t="n">
        <v>6.77</v>
      </c>
      <c r="D386" s="24" t="n">
        <v>5.57</v>
      </c>
      <c r="E386" s="24" t="s">
        <v>25</v>
      </c>
      <c r="F386" s="24" t="n">
        <v>6.76</v>
      </c>
      <c r="G386" s="25" t="n">
        <v>9</v>
      </c>
      <c r="H386" s="24" t="n">
        <v>4.8</v>
      </c>
      <c r="I386" s="25" t="n">
        <v>13</v>
      </c>
      <c r="J386" s="24" t="n">
        <v>5.01</v>
      </c>
      <c r="K386" s="26" t="n">
        <f aca="false">MAX(0,MIN(Instellingen!$B$8*MIN(F386,Instellingen!$B$4*G386),MIN(H386,Instellingen!$B$4*I386)/Instellingen!$B$8))</f>
        <v>5.05964425626941</v>
      </c>
      <c r="L386" s="26" t="str">
        <f aca="false">IF($E386="Winter",$K386,"")</f>
        <v/>
      </c>
      <c r="M386" s="26" t="str">
        <f aca="false">IF($E386="Lente",$K386,"")</f>
        <v/>
      </c>
      <c r="N386" s="26" t="str">
        <f aca="false">IF($E386="Zomer",$K386,"")</f>
        <v/>
      </c>
      <c r="O386" s="26" t="n">
        <f aca="false">IF($E386="Herfst",$K386,"")</f>
        <v>5.05964425626941</v>
      </c>
    </row>
    <row r="387" customFormat="false" ht="15" hidden="false" customHeight="true" outlineLevel="0" collapsed="false">
      <c r="A387" s="23" t="n">
        <v>46283</v>
      </c>
      <c r="B387" s="24" t="n">
        <v>6.72</v>
      </c>
      <c r="C387" s="24" t="n">
        <v>12.37</v>
      </c>
      <c r="D387" s="24" t="n">
        <v>4.95</v>
      </c>
      <c r="E387" s="24" t="s">
        <v>25</v>
      </c>
      <c r="F387" s="24" t="n">
        <v>12.37</v>
      </c>
      <c r="G387" s="25" t="n">
        <v>12</v>
      </c>
      <c r="H387" s="24" t="n">
        <v>6.7</v>
      </c>
      <c r="I387" s="25" t="n">
        <v>14</v>
      </c>
      <c r="J387" s="24" t="n">
        <v>7</v>
      </c>
      <c r="K387" s="26" t="n">
        <f aca="false">MAX(0,MIN(Instellingen!$B$8*MIN(F387,Instellingen!$B$4*G387),MIN(H387,Instellingen!$B$4*I387)/Instellingen!$B$8))</f>
        <v>7.06242010770938</v>
      </c>
      <c r="L387" s="26" t="str">
        <f aca="false">IF($E387="Winter",$K387,"")</f>
        <v/>
      </c>
      <c r="M387" s="26" t="str">
        <f aca="false">IF($E387="Lente",$K387,"")</f>
        <v/>
      </c>
      <c r="N387" s="26" t="str">
        <f aca="false">IF($E387="Zomer",$K387,"")</f>
        <v/>
      </c>
      <c r="O387" s="26" t="n">
        <f aca="false">IF($E387="Herfst",$K387,"")</f>
        <v>7.06242010770938</v>
      </c>
    </row>
    <row r="388" customFormat="false" ht="15" hidden="false" customHeight="true" outlineLevel="0" collapsed="false">
      <c r="A388" s="23" t="n">
        <v>46284</v>
      </c>
      <c r="B388" s="24" t="n">
        <v>7.63</v>
      </c>
      <c r="C388" s="24" t="n">
        <v>3.66</v>
      </c>
      <c r="D388" s="24" t="n">
        <v>5.6</v>
      </c>
      <c r="E388" s="24" t="s">
        <v>25</v>
      </c>
      <c r="F388" s="24" t="n">
        <v>3.66</v>
      </c>
      <c r="G388" s="25" t="n">
        <v>9</v>
      </c>
      <c r="H388" s="24" t="n">
        <v>4.66</v>
      </c>
      <c r="I388" s="25" t="n">
        <v>15</v>
      </c>
      <c r="J388" s="24" t="n">
        <v>3.15</v>
      </c>
      <c r="K388" s="26" t="n">
        <f aca="false">MAX(0,MIN(Instellingen!$B$8*MIN(F388,Instellingen!$B$4*G388),MIN(H388,Instellingen!$B$4*I388)/Instellingen!$B$8))</f>
        <v>3.47218087086488</v>
      </c>
      <c r="L388" s="26" t="str">
        <f aca="false">IF($E388="Winter",$K388,"")</f>
        <v/>
      </c>
      <c r="M388" s="26" t="str">
        <f aca="false">IF($E388="Lente",$K388,"")</f>
        <v/>
      </c>
      <c r="N388" s="26" t="str">
        <f aca="false">IF($E388="Zomer",$K388,"")</f>
        <v/>
      </c>
      <c r="O388" s="26" t="n">
        <f aca="false">IF($E388="Herfst",$K388,"")</f>
        <v>3.47218087086488</v>
      </c>
    </row>
    <row r="389" customFormat="false" ht="15" hidden="false" customHeight="true" outlineLevel="0" collapsed="false">
      <c r="A389" s="23" t="n">
        <v>46285</v>
      </c>
      <c r="B389" s="24" t="n">
        <v>11.54</v>
      </c>
      <c r="C389" s="24" t="n">
        <v>13.82</v>
      </c>
      <c r="D389" s="24" t="n">
        <v>9.23</v>
      </c>
      <c r="E389" s="24" t="s">
        <v>25</v>
      </c>
      <c r="F389" s="24" t="n">
        <v>13.82</v>
      </c>
      <c r="G389" s="25" t="n">
        <v>11</v>
      </c>
      <c r="H389" s="24" t="n">
        <v>8.77</v>
      </c>
      <c r="I389" s="25" t="n">
        <v>12</v>
      </c>
      <c r="J389" s="24" t="n">
        <v>7.1</v>
      </c>
      <c r="K389" s="26" t="n">
        <f aca="false">MAX(0,MIN(Instellingen!$B$8*MIN(F389,Instellingen!$B$4*G389),MIN(H389,Instellingen!$B$4*I389)/Instellingen!$B$8))</f>
        <v>9.24439169322556</v>
      </c>
      <c r="L389" s="26" t="str">
        <f aca="false">IF($E389="Winter",$K389,"")</f>
        <v/>
      </c>
      <c r="M389" s="26" t="str">
        <f aca="false">IF($E389="Lente",$K389,"")</f>
        <v/>
      </c>
      <c r="N389" s="26" t="str">
        <f aca="false">IF($E389="Zomer",$K389,"")</f>
        <v/>
      </c>
      <c r="O389" s="26" t="n">
        <f aca="false">IF($E389="Herfst",$K389,"")</f>
        <v>9.24439169322556</v>
      </c>
    </row>
    <row r="390" customFormat="false" ht="15" hidden="false" customHeight="true" outlineLevel="0" collapsed="false">
      <c r="A390" s="23" t="n">
        <v>46286</v>
      </c>
      <c r="B390" s="24" t="n">
        <v>4.87</v>
      </c>
      <c r="C390" s="24" t="n">
        <v>19.15</v>
      </c>
      <c r="D390" s="24" t="n">
        <v>3.65</v>
      </c>
      <c r="E390" s="24" t="s">
        <v>25</v>
      </c>
      <c r="F390" s="24" t="n">
        <v>19.15</v>
      </c>
      <c r="G390" s="25" t="n">
        <v>12</v>
      </c>
      <c r="H390" s="24" t="n">
        <v>3.63</v>
      </c>
      <c r="I390" s="25" t="n">
        <v>12</v>
      </c>
      <c r="J390" s="24" t="n">
        <v>3.79</v>
      </c>
      <c r="K390" s="26" t="n">
        <f aca="false">MAX(0,MIN(Instellingen!$B$8*MIN(F390,Instellingen!$B$4*G390),MIN(H390,Instellingen!$B$4*I390)/Instellingen!$B$8))</f>
        <v>3.82635596880374</v>
      </c>
      <c r="L390" s="26" t="str">
        <f aca="false">IF($E390="Winter",$K390,"")</f>
        <v/>
      </c>
      <c r="M390" s="26" t="str">
        <f aca="false">IF($E390="Lente",$K390,"")</f>
        <v/>
      </c>
      <c r="N390" s="26" t="str">
        <f aca="false">IF($E390="Zomer",$K390,"")</f>
        <v/>
      </c>
      <c r="O390" s="26" t="n">
        <f aca="false">IF($E390="Herfst",$K390,"")</f>
        <v>3.82635596880374</v>
      </c>
    </row>
    <row r="391" customFormat="false" ht="15" hidden="false" customHeight="true" outlineLevel="0" collapsed="false">
      <c r="A391" s="23" t="n">
        <v>46287</v>
      </c>
      <c r="B391" s="24" t="n">
        <v>7.41</v>
      </c>
      <c r="C391" s="24" t="n">
        <v>5.41</v>
      </c>
      <c r="D391" s="24" t="n">
        <v>5.67</v>
      </c>
      <c r="E391" s="24" t="s">
        <v>25</v>
      </c>
      <c r="F391" s="24" t="n">
        <v>5.41</v>
      </c>
      <c r="G391" s="25" t="n">
        <v>10</v>
      </c>
      <c r="H391" s="24" t="n">
        <v>5.89</v>
      </c>
      <c r="I391" s="25" t="n">
        <v>14</v>
      </c>
      <c r="J391" s="24" t="n">
        <v>5.08</v>
      </c>
      <c r="K391" s="26" t="n">
        <f aca="false">MAX(0,MIN(Instellingen!$B$8*MIN(F391,Instellingen!$B$4*G391),MIN(H391,Instellingen!$B$4*I391)/Instellingen!$B$8))</f>
        <v>5.13237664245328</v>
      </c>
      <c r="L391" s="26" t="str">
        <f aca="false">IF($E391="Winter",$K391,"")</f>
        <v/>
      </c>
      <c r="M391" s="26" t="str">
        <f aca="false">IF($E391="Lente",$K391,"")</f>
        <v/>
      </c>
      <c r="N391" s="26" t="str">
        <f aca="false">IF($E391="Zomer",$K391,"")</f>
        <v/>
      </c>
      <c r="O391" s="26" t="n">
        <f aca="false">IF($E391="Herfst",$K391,"")</f>
        <v>5.13237664245328</v>
      </c>
    </row>
    <row r="392" customFormat="false" ht="15" hidden="false" customHeight="true" outlineLevel="0" collapsed="false">
      <c r="A392" s="23" t="n">
        <v>46288</v>
      </c>
      <c r="B392" s="24" t="n">
        <v>9.39</v>
      </c>
      <c r="C392" s="24" t="n">
        <v>13.2</v>
      </c>
      <c r="D392" s="24" t="n">
        <v>8.83</v>
      </c>
      <c r="E392" s="24" t="s">
        <v>25</v>
      </c>
      <c r="F392" s="24" t="n">
        <v>13.2</v>
      </c>
      <c r="G392" s="25" t="n">
        <v>10</v>
      </c>
      <c r="H392" s="24" t="n">
        <v>9.01</v>
      </c>
      <c r="I392" s="25" t="n">
        <v>14</v>
      </c>
      <c r="J392" s="24" t="n">
        <v>9.4</v>
      </c>
      <c r="K392" s="26" t="n">
        <f aca="false">MAX(0,MIN(Instellingen!$B$8*MIN(F392,Instellingen!$B$4*G392),MIN(H392,Instellingen!$B$4*I392)/Instellingen!$B$8))</f>
        <v>9.49737390603903</v>
      </c>
      <c r="L392" s="26" t="str">
        <f aca="false">IF($E392="Winter",$K392,"")</f>
        <v/>
      </c>
      <c r="M392" s="26" t="str">
        <f aca="false">IF($E392="Lente",$K392,"")</f>
        <v/>
      </c>
      <c r="N392" s="26" t="str">
        <f aca="false">IF($E392="Zomer",$K392,"")</f>
        <v/>
      </c>
      <c r="O392" s="26" t="n">
        <f aca="false">IF($E392="Herfst",$K392,"")</f>
        <v>9.49737390603903</v>
      </c>
    </row>
    <row r="393" customFormat="false" ht="15" hidden="false" customHeight="true" outlineLevel="0" collapsed="false">
      <c r="A393" s="23" t="n">
        <v>46289</v>
      </c>
      <c r="B393" s="24" t="n">
        <v>7.65</v>
      </c>
      <c r="C393" s="24" t="n">
        <v>20.7</v>
      </c>
      <c r="D393" s="24" t="n">
        <v>6.34</v>
      </c>
      <c r="E393" s="24" t="s">
        <v>25</v>
      </c>
      <c r="F393" s="24" t="n">
        <v>20.7</v>
      </c>
      <c r="G393" s="25" t="n">
        <v>11</v>
      </c>
      <c r="H393" s="24" t="n">
        <v>6.81</v>
      </c>
      <c r="I393" s="25" t="n">
        <v>13</v>
      </c>
      <c r="J393" s="24" t="n">
        <v>7.11</v>
      </c>
      <c r="K393" s="26" t="n">
        <f aca="false">MAX(0,MIN(Instellingen!$B$8*MIN(F393,Instellingen!$B$4*G393),MIN(H393,Instellingen!$B$4*I393)/Instellingen!$B$8))</f>
        <v>7.17837028858222</v>
      </c>
      <c r="L393" s="26" t="str">
        <f aca="false">IF($E393="Winter",$K393,"")</f>
        <v/>
      </c>
      <c r="M393" s="26" t="str">
        <f aca="false">IF($E393="Lente",$K393,"")</f>
        <v/>
      </c>
      <c r="N393" s="26" t="str">
        <f aca="false">IF($E393="Zomer",$K393,"")</f>
        <v/>
      </c>
      <c r="O393" s="26" t="n">
        <f aca="false">IF($E393="Herfst",$K393,"")</f>
        <v>7.17837028858222</v>
      </c>
    </row>
    <row r="394" customFormat="false" ht="15" hidden="false" customHeight="true" outlineLevel="0" collapsed="false">
      <c r="A394" s="23" t="n">
        <v>46290</v>
      </c>
      <c r="B394" s="24" t="n">
        <v>6.14</v>
      </c>
      <c r="C394" s="24" t="n">
        <v>19.32</v>
      </c>
      <c r="D394" s="24" t="n">
        <v>5.35</v>
      </c>
      <c r="E394" s="24" t="s">
        <v>25</v>
      </c>
      <c r="F394" s="24" t="n">
        <v>19.32</v>
      </c>
      <c r="G394" s="25" t="n">
        <v>11</v>
      </c>
      <c r="H394" s="24" t="n">
        <v>5.41</v>
      </c>
      <c r="I394" s="25" t="n">
        <v>13</v>
      </c>
      <c r="J394" s="24" t="n">
        <v>5.65</v>
      </c>
      <c r="K394" s="26" t="n">
        <f aca="false">MAX(0,MIN(Instellingen!$B$8*MIN(F394,Instellingen!$B$4*G394),MIN(H394,Instellingen!$B$4*I394)/Instellingen!$B$8))</f>
        <v>5.70264071383698</v>
      </c>
      <c r="L394" s="26" t="str">
        <f aca="false">IF($E394="Winter",$K394,"")</f>
        <v/>
      </c>
      <c r="M394" s="26" t="str">
        <f aca="false">IF($E394="Lente",$K394,"")</f>
        <v/>
      </c>
      <c r="N394" s="26" t="str">
        <f aca="false">IF($E394="Zomer",$K394,"")</f>
        <v/>
      </c>
      <c r="O394" s="26" t="n">
        <f aca="false">IF($E394="Herfst",$K394,"")</f>
        <v>5.70264071383698</v>
      </c>
    </row>
    <row r="395" customFormat="false" ht="15" hidden="false" customHeight="true" outlineLevel="0" collapsed="false">
      <c r="A395" s="23" t="n">
        <v>46291</v>
      </c>
      <c r="B395" s="24" t="n">
        <v>7.3</v>
      </c>
      <c r="C395" s="24" t="n">
        <v>8.91</v>
      </c>
      <c r="D395" s="24" t="n">
        <v>5.88</v>
      </c>
      <c r="E395" s="24" t="s">
        <v>25</v>
      </c>
      <c r="F395" s="24" t="n">
        <v>8.91</v>
      </c>
      <c r="G395" s="25" t="n">
        <v>11</v>
      </c>
      <c r="H395" s="24" t="n">
        <v>5.08</v>
      </c>
      <c r="I395" s="25" t="n">
        <v>13</v>
      </c>
      <c r="J395" s="24" t="n">
        <v>5.3</v>
      </c>
      <c r="K395" s="26" t="n">
        <f aca="false">MAX(0,MIN(Instellingen!$B$8*MIN(F395,Instellingen!$B$4*G395),MIN(H395,Instellingen!$B$4*I395)/Instellingen!$B$8))</f>
        <v>5.35479017121846</v>
      </c>
      <c r="L395" s="26" t="str">
        <f aca="false">IF($E395="Winter",$K395,"")</f>
        <v/>
      </c>
      <c r="M395" s="26" t="str">
        <f aca="false">IF($E395="Lente",$K395,"")</f>
        <v/>
      </c>
      <c r="N395" s="26" t="str">
        <f aca="false">IF($E395="Zomer",$K395,"")</f>
        <v/>
      </c>
      <c r="O395" s="26" t="n">
        <f aca="false">IF($E395="Herfst",$K395,"")</f>
        <v>5.35479017121846</v>
      </c>
    </row>
    <row r="396" customFormat="false" ht="15" hidden="false" customHeight="true" outlineLevel="0" collapsed="false">
      <c r="A396" s="23" t="n">
        <v>46292</v>
      </c>
      <c r="B396" s="24" t="n">
        <v>8.62</v>
      </c>
      <c r="C396" s="24" t="n">
        <v>18.37</v>
      </c>
      <c r="D396" s="24" t="n">
        <v>8.54</v>
      </c>
      <c r="E396" s="24" t="s">
        <v>25</v>
      </c>
      <c r="F396" s="24" t="n">
        <v>18.37</v>
      </c>
      <c r="G396" s="25" t="n">
        <v>10</v>
      </c>
      <c r="H396" s="24" t="n">
        <v>12.95</v>
      </c>
      <c r="I396" s="25" t="n">
        <v>15</v>
      </c>
      <c r="J396" s="24" t="n">
        <v>13.51</v>
      </c>
      <c r="K396" s="26" t="n">
        <f aca="false">MAX(0,MIN(Instellingen!$B$8*MIN(F396,Instellingen!$B$4*G396),MIN(H396,Instellingen!$B$4*I396)/Instellingen!$B$8))</f>
        <v>13.6504985663935</v>
      </c>
      <c r="L396" s="26" t="str">
        <f aca="false">IF($E396="Winter",$K396,"")</f>
        <v/>
      </c>
      <c r="M396" s="26" t="str">
        <f aca="false">IF($E396="Lente",$K396,"")</f>
        <v/>
      </c>
      <c r="N396" s="26" t="str">
        <f aca="false">IF($E396="Zomer",$K396,"")</f>
        <v/>
      </c>
      <c r="O396" s="26" t="n">
        <f aca="false">IF($E396="Herfst",$K396,"")</f>
        <v>13.6504985663935</v>
      </c>
    </row>
    <row r="397" customFormat="false" ht="15" hidden="false" customHeight="true" outlineLevel="0" collapsed="false">
      <c r="A397" s="23" t="n">
        <v>46293</v>
      </c>
      <c r="B397" s="24" t="n">
        <v>12.1</v>
      </c>
      <c r="C397" s="24" t="n">
        <v>3.21</v>
      </c>
      <c r="D397" s="24" t="n">
        <v>11.6</v>
      </c>
      <c r="E397" s="24" t="s">
        <v>25</v>
      </c>
      <c r="F397" s="24" t="n">
        <v>3.21</v>
      </c>
      <c r="G397" s="25" t="n">
        <v>7</v>
      </c>
      <c r="H397" s="24" t="n">
        <v>8.21</v>
      </c>
      <c r="I397" s="25" t="n">
        <v>17</v>
      </c>
      <c r="J397" s="24" t="n">
        <v>2.89</v>
      </c>
      <c r="K397" s="26" t="n">
        <f aca="false">MAX(0,MIN(Instellingen!$B$8*MIN(F397,Instellingen!$B$4*G397),MIN(H397,Instellingen!$B$4*I397)/Instellingen!$B$8))</f>
        <v>3.04527338674215</v>
      </c>
      <c r="L397" s="26" t="str">
        <f aca="false">IF($E397="Winter",$K397,"")</f>
        <v/>
      </c>
      <c r="M397" s="26" t="str">
        <f aca="false">IF($E397="Lente",$K397,"")</f>
        <v/>
      </c>
      <c r="N397" s="26" t="str">
        <f aca="false">IF($E397="Zomer",$K397,"")</f>
        <v/>
      </c>
      <c r="O397" s="26" t="n">
        <f aca="false">IF($E397="Herfst",$K397,"")</f>
        <v>3.04527338674215</v>
      </c>
    </row>
    <row r="398" customFormat="false" ht="15" hidden="false" customHeight="true" outlineLevel="0" collapsed="false">
      <c r="A398" s="23" t="n">
        <v>46294</v>
      </c>
      <c r="B398" s="24" t="n">
        <v>11.62</v>
      </c>
      <c r="C398" s="24" t="n">
        <v>14.13</v>
      </c>
      <c r="D398" s="24" t="n">
        <v>10.51</v>
      </c>
      <c r="E398" s="24" t="s">
        <v>25</v>
      </c>
      <c r="F398" s="24" t="n">
        <v>14.13</v>
      </c>
      <c r="G398" s="25" t="n">
        <v>10</v>
      </c>
      <c r="H398" s="24" t="n">
        <v>10.34</v>
      </c>
      <c r="I398" s="25" t="n">
        <v>13</v>
      </c>
      <c r="J398" s="24" t="n">
        <v>10.73</v>
      </c>
      <c r="K398" s="26" t="n">
        <f aca="false">MAX(0,MIN(Instellingen!$B$8*MIN(F398,Instellingen!$B$4*G398),MIN(H398,Instellingen!$B$4*I398)/Instellingen!$B$8))</f>
        <v>10.899317002047</v>
      </c>
      <c r="L398" s="26" t="str">
        <f aca="false">IF($E398="Winter",$K398,"")</f>
        <v/>
      </c>
      <c r="M398" s="26" t="str">
        <f aca="false">IF($E398="Lente",$K398,"")</f>
        <v/>
      </c>
      <c r="N398" s="26" t="str">
        <f aca="false">IF($E398="Zomer",$K398,"")</f>
        <v/>
      </c>
      <c r="O398" s="26" t="n">
        <f aca="false">IF($E398="Herfst",$K398,"")</f>
        <v>10.899317002047</v>
      </c>
    </row>
    <row r="399" customFormat="false" ht="15" hidden="false" customHeight="true" outlineLevel="0" collapsed="false">
      <c r="A399" s="23" t="n">
        <v>46295</v>
      </c>
      <c r="B399" s="24" t="n">
        <v>11.41</v>
      </c>
      <c r="C399" s="24" t="n">
        <v>7.06</v>
      </c>
      <c r="D399" s="24" t="n">
        <v>10.86</v>
      </c>
      <c r="E399" s="24" t="s">
        <v>25</v>
      </c>
      <c r="F399" s="24" t="n">
        <v>7.07</v>
      </c>
      <c r="G399" s="25" t="n">
        <v>9</v>
      </c>
      <c r="H399" s="24" t="n">
        <v>10.21</v>
      </c>
      <c r="I399" s="25" t="n">
        <v>16</v>
      </c>
      <c r="J399" s="24" t="n">
        <v>6.63</v>
      </c>
      <c r="K399" s="26" t="n">
        <f aca="false">MAX(0,MIN(Instellingen!$B$8*MIN(F399,Instellingen!$B$4*G399),MIN(H399,Instellingen!$B$4*I399)/Instellingen!$B$8))</f>
        <v>6.70719091721713</v>
      </c>
      <c r="L399" s="26" t="str">
        <f aca="false">IF($E399="Winter",$K399,"")</f>
        <v/>
      </c>
      <c r="M399" s="26" t="str">
        <f aca="false">IF($E399="Lente",$K399,"")</f>
        <v/>
      </c>
      <c r="N399" s="26" t="str">
        <f aca="false">IF($E399="Zomer",$K399,"")</f>
        <v/>
      </c>
      <c r="O399" s="26" t="n">
        <f aca="false">IF($E399="Herfst",$K399,"")</f>
        <v>6.70719091721713</v>
      </c>
    </row>
    <row r="400" customFormat="false" ht="15" hidden="false" customHeight="true" outlineLevel="0" collapsed="false">
      <c r="A400" s="23" t="n">
        <v>46296</v>
      </c>
      <c r="B400" s="24" t="n">
        <v>4.69</v>
      </c>
      <c r="C400" s="24" t="n">
        <v>13.05</v>
      </c>
      <c r="D400" s="24" t="n">
        <v>4.51</v>
      </c>
      <c r="E400" s="24" t="s">
        <v>25</v>
      </c>
      <c r="F400" s="24" t="n">
        <v>13.05</v>
      </c>
      <c r="G400" s="25" t="n">
        <v>10</v>
      </c>
      <c r="H400" s="24" t="n">
        <v>4.34</v>
      </c>
      <c r="I400" s="25" t="n">
        <v>13</v>
      </c>
      <c r="J400" s="24" t="n">
        <v>4.53</v>
      </c>
      <c r="K400" s="26" t="n">
        <f aca="false">MAX(0,MIN(Instellingen!$B$8*MIN(F400,Instellingen!$B$4*G400),MIN(H400,Instellingen!$B$4*I400)/Instellingen!$B$8))</f>
        <v>4.57476168171026</v>
      </c>
      <c r="L400" s="26" t="str">
        <f aca="false">IF($E400="Winter",$K400,"")</f>
        <v/>
      </c>
      <c r="M400" s="26" t="str">
        <f aca="false">IF($E400="Lente",$K400,"")</f>
        <v/>
      </c>
      <c r="N400" s="26" t="str">
        <f aca="false">IF($E400="Zomer",$K400,"")</f>
        <v/>
      </c>
      <c r="O400" s="26" t="n">
        <f aca="false">IF($E400="Herfst",$K400,"")</f>
        <v>4.57476168171026</v>
      </c>
    </row>
    <row r="401" customFormat="false" ht="15" hidden="false" customHeight="true" outlineLevel="0" collapsed="false">
      <c r="A401" s="23" t="n">
        <v>46297</v>
      </c>
      <c r="B401" s="24" t="n">
        <v>11.13</v>
      </c>
      <c r="C401" s="24" t="n">
        <v>12.39</v>
      </c>
      <c r="D401" s="24" t="n">
        <v>8.48</v>
      </c>
      <c r="E401" s="24" t="s">
        <v>25</v>
      </c>
      <c r="F401" s="24" t="n">
        <v>12.39</v>
      </c>
      <c r="G401" s="25" t="n">
        <v>11</v>
      </c>
      <c r="H401" s="24" t="n">
        <v>8.87</v>
      </c>
      <c r="I401" s="25" t="n">
        <v>13</v>
      </c>
      <c r="J401" s="24" t="n">
        <v>9.25</v>
      </c>
      <c r="K401" s="26" t="n">
        <f aca="false">MAX(0,MIN(Instellingen!$B$8*MIN(F401,Instellingen!$B$4*G401),MIN(H401,Instellingen!$B$4*I401)/Instellingen!$B$8))</f>
        <v>9.34980094856451</v>
      </c>
      <c r="L401" s="26" t="str">
        <f aca="false">IF($E401="Winter",$K401,"")</f>
        <v/>
      </c>
      <c r="M401" s="26" t="str">
        <f aca="false">IF($E401="Lente",$K401,"")</f>
        <v/>
      </c>
      <c r="N401" s="26" t="str">
        <f aca="false">IF($E401="Zomer",$K401,"")</f>
        <v/>
      </c>
      <c r="O401" s="26" t="n">
        <f aca="false">IF($E401="Herfst",$K401,"")</f>
        <v>9.34980094856451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0"/>
    <col collapsed="false" customWidth="true" hidden="false" outlineLevel="0" max="4" min="4" style="1" width="11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51</v>
      </c>
    </row>
    <row r="3" customFormat="false" ht="26.25" hidden="false" customHeight="true" outlineLevel="0" collapsed="false">
      <c r="A3" s="12" t="s">
        <v>52</v>
      </c>
      <c r="B3" s="12" t="s">
        <v>53</v>
      </c>
      <c r="C3" s="12" t="s">
        <v>54</v>
      </c>
      <c r="D3" s="12" t="s">
        <v>20</v>
      </c>
      <c r="E3" s="12" t="s">
        <v>21</v>
      </c>
      <c r="F3" s="12" t="s">
        <v>23</v>
      </c>
      <c r="G3" s="12" t="s">
        <v>24</v>
      </c>
      <c r="H3" s="12" t="s">
        <v>25</v>
      </c>
    </row>
    <row r="4" customFormat="false" ht="15" hidden="false" customHeight="true" outlineLevel="0" collapsed="false">
      <c r="A4" s="15" t="n">
        <v>0</v>
      </c>
      <c r="B4" s="15" t="n">
        <f aca="false">A4+Instellingen!$B$6</f>
        <v>1</v>
      </c>
      <c r="C4" s="14" t="str">
        <f aca="false">TEXT(A4,"0")&amp;"–"&amp;TEXT(B4,"0")</f>
        <v>0–1</v>
      </c>
      <c r="D4" s="14" t="n">
        <f aca="false">COUNTIFS(Data!$K$2:$K$401,"&gt;="&amp;A4,Data!$K$2:$K$401,"&lt;"&amp;B4)</f>
        <v>77</v>
      </c>
      <c r="E4" s="14" t="n">
        <f aca="false">COUNTIFS(Data!$K$2:$K$401,"&gt;="&amp;A4,Data!$K$2:$K$401,"&lt;"&amp;B4,Data!$E$2:$E$401,"Winter")</f>
        <v>53</v>
      </c>
      <c r="F4" s="14" t="n">
        <f aca="false">COUNTIFS(Data!$K$2:$K$401,"&gt;="&amp;A4,Data!$K$2:$K$401,"&lt;"&amp;B4,Data!$E$2:$E$401,"Lente")</f>
        <v>1</v>
      </c>
      <c r="G4" s="14" t="n">
        <f aca="false">COUNTIFS(Data!$K$2:$K$401,"&gt;="&amp;A4,Data!$K$2:$K$401,"&lt;"&amp;B4,Data!$E$2:$E$401,"Zomer")</f>
        <v>5</v>
      </c>
      <c r="H4" s="14" t="n">
        <f aca="false">COUNTIFS(Data!$K$2:$K$401,"&gt;="&amp;A4,Data!$K$2:$K$401,"&lt;"&amp;B4,Data!$E$2:$E$401,"Herfst")</f>
        <v>18</v>
      </c>
    </row>
    <row r="5" customFormat="false" ht="15" hidden="false" customHeight="true" outlineLevel="0" collapsed="false">
      <c r="A5" s="15" t="n">
        <f aca="false">B4</f>
        <v>1</v>
      </c>
      <c r="B5" s="15" t="n">
        <f aca="false">A5+Instellingen!$B$6</f>
        <v>2</v>
      </c>
      <c r="C5" s="14" t="str">
        <f aca="false">TEXT(A5,"0")&amp;"–"&amp;TEXT(B5,"0")</f>
        <v>1–2</v>
      </c>
      <c r="D5" s="14" t="n">
        <f aca="false">COUNTIFS(Data!$K$2:$K$401,"&gt;="&amp;A5,Data!$K$2:$K$401,"&lt;"&amp;B5)</f>
        <v>22</v>
      </c>
      <c r="E5" s="14" t="n">
        <f aca="false">COUNTIFS(Data!$K$2:$K$401,"&gt;="&amp;A5,Data!$K$2:$K$401,"&lt;"&amp;B5,Data!$E$2:$E$401,"Winter")</f>
        <v>8</v>
      </c>
      <c r="F5" s="14" t="n">
        <f aca="false">COUNTIFS(Data!$K$2:$K$401,"&gt;="&amp;A5,Data!$K$2:$K$401,"&lt;"&amp;B5,Data!$E$2:$E$401,"Lente")</f>
        <v>2</v>
      </c>
      <c r="G5" s="14" t="n">
        <f aca="false">COUNTIFS(Data!$K$2:$K$401,"&gt;="&amp;A5,Data!$K$2:$K$401,"&lt;"&amp;B5,Data!$E$2:$E$401,"Zomer")</f>
        <v>1</v>
      </c>
      <c r="H5" s="14" t="n">
        <f aca="false">COUNTIFS(Data!$K$2:$K$401,"&gt;="&amp;A5,Data!$K$2:$K$401,"&lt;"&amp;B5,Data!$E$2:$E$401,"Herfst")</f>
        <v>11</v>
      </c>
    </row>
    <row r="6" customFormat="false" ht="15" hidden="false" customHeight="true" outlineLevel="0" collapsed="false">
      <c r="A6" s="15" t="n">
        <f aca="false">B5</f>
        <v>2</v>
      </c>
      <c r="B6" s="15" t="n">
        <f aca="false">A6+Instellingen!$B$6</f>
        <v>3</v>
      </c>
      <c r="C6" s="14" t="str">
        <f aca="false">TEXT(A6,"0")&amp;"–"&amp;TEXT(B6,"0")</f>
        <v>2–3</v>
      </c>
      <c r="D6" s="14" t="n">
        <f aca="false">COUNTIFS(Data!$K$2:$K$401,"&gt;="&amp;A6,Data!$K$2:$K$401,"&lt;"&amp;B6)</f>
        <v>55</v>
      </c>
      <c r="E6" s="14" t="n">
        <f aca="false">COUNTIFS(Data!$K$2:$K$401,"&gt;="&amp;A6,Data!$K$2:$K$401,"&lt;"&amp;B6,Data!$E$2:$E$401,"Winter")</f>
        <v>10</v>
      </c>
      <c r="F6" s="14" t="n">
        <f aca="false">COUNTIFS(Data!$K$2:$K$401,"&gt;="&amp;A6,Data!$K$2:$K$401,"&lt;"&amp;B6,Data!$E$2:$E$401,"Lente")</f>
        <v>10</v>
      </c>
      <c r="G6" s="14" t="n">
        <f aca="false">COUNTIFS(Data!$K$2:$K$401,"&gt;="&amp;A6,Data!$K$2:$K$401,"&lt;"&amp;B6,Data!$E$2:$E$401,"Zomer")</f>
        <v>20</v>
      </c>
      <c r="H6" s="14" t="n">
        <f aca="false">COUNTIFS(Data!$K$2:$K$401,"&gt;="&amp;A6,Data!$K$2:$K$401,"&lt;"&amp;B6,Data!$E$2:$E$401,"Herfst")</f>
        <v>15</v>
      </c>
    </row>
    <row r="7" customFormat="false" ht="15" hidden="false" customHeight="true" outlineLevel="0" collapsed="false">
      <c r="A7" s="15" t="n">
        <f aca="false">B6</f>
        <v>3</v>
      </c>
      <c r="B7" s="15" t="n">
        <f aca="false">A7+Instellingen!$B$6</f>
        <v>4</v>
      </c>
      <c r="C7" s="14" t="str">
        <f aca="false">TEXT(A7,"0")&amp;"–"&amp;TEXT(B7,"0")</f>
        <v>3–4</v>
      </c>
      <c r="D7" s="14" t="n">
        <f aca="false">COUNTIFS(Data!$K$2:$K$401,"&gt;="&amp;A7,Data!$K$2:$K$401,"&lt;"&amp;B7)</f>
        <v>46</v>
      </c>
      <c r="E7" s="14" t="n">
        <f aca="false">COUNTIFS(Data!$K$2:$K$401,"&gt;="&amp;A7,Data!$K$2:$K$401,"&lt;"&amp;B7,Data!$E$2:$E$401,"Winter")</f>
        <v>9</v>
      </c>
      <c r="F7" s="14" t="n">
        <f aca="false">COUNTIFS(Data!$K$2:$K$401,"&gt;="&amp;A7,Data!$K$2:$K$401,"&lt;"&amp;B7,Data!$E$2:$E$401,"Lente")</f>
        <v>14</v>
      </c>
      <c r="G7" s="14" t="n">
        <f aca="false">COUNTIFS(Data!$K$2:$K$401,"&gt;="&amp;A7,Data!$K$2:$K$401,"&lt;"&amp;B7,Data!$E$2:$E$401,"Zomer")</f>
        <v>11</v>
      </c>
      <c r="H7" s="14" t="n">
        <f aca="false">COUNTIFS(Data!$K$2:$K$401,"&gt;="&amp;A7,Data!$K$2:$K$401,"&lt;"&amp;B7,Data!$E$2:$E$401,"Herfst")</f>
        <v>12</v>
      </c>
    </row>
    <row r="8" customFormat="false" ht="15" hidden="false" customHeight="true" outlineLevel="0" collapsed="false">
      <c r="A8" s="15" t="n">
        <f aca="false">B7</f>
        <v>4</v>
      </c>
      <c r="B8" s="15" t="n">
        <f aca="false">A8+Instellingen!$B$6</f>
        <v>5</v>
      </c>
      <c r="C8" s="14" t="str">
        <f aca="false">TEXT(A8,"0")&amp;"–"&amp;TEXT(B8,"0")</f>
        <v>4–5</v>
      </c>
      <c r="D8" s="14" t="n">
        <f aca="false">COUNTIFS(Data!$K$2:$K$401,"&gt;="&amp;A8,Data!$K$2:$K$401,"&lt;"&amp;B8)</f>
        <v>58</v>
      </c>
      <c r="E8" s="14" t="n">
        <f aca="false">COUNTIFS(Data!$K$2:$K$401,"&gt;="&amp;A8,Data!$K$2:$K$401,"&lt;"&amp;B8,Data!$E$2:$E$401,"Winter")</f>
        <v>4</v>
      </c>
      <c r="F8" s="14" t="n">
        <f aca="false">COUNTIFS(Data!$K$2:$K$401,"&gt;="&amp;A8,Data!$K$2:$K$401,"&lt;"&amp;B8,Data!$E$2:$E$401,"Lente")</f>
        <v>15</v>
      </c>
      <c r="G8" s="14" t="n">
        <f aca="false">COUNTIFS(Data!$K$2:$K$401,"&gt;="&amp;A8,Data!$K$2:$K$401,"&lt;"&amp;B8,Data!$E$2:$E$401,"Zomer")</f>
        <v>22</v>
      </c>
      <c r="H8" s="14" t="n">
        <f aca="false">COUNTIFS(Data!$K$2:$K$401,"&gt;="&amp;A8,Data!$K$2:$K$401,"&lt;"&amp;B8,Data!$E$2:$E$401,"Herfst")</f>
        <v>17</v>
      </c>
    </row>
    <row r="9" customFormat="false" ht="15" hidden="false" customHeight="true" outlineLevel="0" collapsed="false">
      <c r="A9" s="15" t="n">
        <f aca="false">B8</f>
        <v>5</v>
      </c>
      <c r="B9" s="15" t="n">
        <f aca="false">A9+Instellingen!$B$6</f>
        <v>6</v>
      </c>
      <c r="C9" s="14" t="str">
        <f aca="false">TEXT(A9,"0")&amp;"–"&amp;TEXT(B9,"0")</f>
        <v>5–6</v>
      </c>
      <c r="D9" s="14" t="n">
        <f aca="false">COUNTIFS(Data!$K$2:$K$401,"&gt;="&amp;A9,Data!$K$2:$K$401,"&lt;"&amp;B9)</f>
        <v>48</v>
      </c>
      <c r="E9" s="14" t="n">
        <f aca="false">COUNTIFS(Data!$K$2:$K$401,"&gt;="&amp;A9,Data!$K$2:$K$401,"&lt;"&amp;B9,Data!$E$2:$E$401,"Winter")</f>
        <v>3</v>
      </c>
      <c r="F9" s="14" t="n">
        <f aca="false">COUNTIFS(Data!$K$2:$K$401,"&gt;="&amp;A9,Data!$K$2:$K$401,"&lt;"&amp;B9,Data!$E$2:$E$401,"Lente")</f>
        <v>8</v>
      </c>
      <c r="G9" s="14" t="n">
        <f aca="false">COUNTIFS(Data!$K$2:$K$401,"&gt;="&amp;A9,Data!$K$2:$K$401,"&lt;"&amp;B9,Data!$E$2:$E$401,"Zomer")</f>
        <v>15</v>
      </c>
      <c r="H9" s="14" t="n">
        <f aca="false">COUNTIFS(Data!$K$2:$K$401,"&gt;="&amp;A9,Data!$K$2:$K$401,"&lt;"&amp;B9,Data!$E$2:$E$401,"Herfst")</f>
        <v>22</v>
      </c>
    </row>
    <row r="10" customFormat="false" ht="15" hidden="false" customHeight="true" outlineLevel="0" collapsed="false">
      <c r="A10" s="15" t="n">
        <f aca="false">B9</f>
        <v>6</v>
      </c>
      <c r="B10" s="15" t="n">
        <f aca="false">A10+Instellingen!$B$6</f>
        <v>7</v>
      </c>
      <c r="C10" s="14" t="str">
        <f aca="false">TEXT(A10,"0")&amp;"–"&amp;TEXT(B10,"0")</f>
        <v>6–7</v>
      </c>
      <c r="D10" s="14" t="n">
        <f aca="false">COUNTIFS(Data!$K$2:$K$401,"&gt;="&amp;A10,Data!$K$2:$K$401,"&lt;"&amp;B10)</f>
        <v>24</v>
      </c>
      <c r="E10" s="14" t="n">
        <f aca="false">COUNTIFS(Data!$K$2:$K$401,"&gt;="&amp;A10,Data!$K$2:$K$401,"&lt;"&amp;B10,Data!$E$2:$E$401,"Winter")</f>
        <v>0</v>
      </c>
      <c r="F10" s="14" t="n">
        <f aca="false">COUNTIFS(Data!$K$2:$K$401,"&gt;="&amp;A10,Data!$K$2:$K$401,"&lt;"&amp;B10,Data!$E$2:$E$401,"Lente")</f>
        <v>13</v>
      </c>
      <c r="G10" s="14" t="n">
        <f aca="false">COUNTIFS(Data!$K$2:$K$401,"&gt;="&amp;A10,Data!$K$2:$K$401,"&lt;"&amp;B10,Data!$E$2:$E$401,"Zomer")</f>
        <v>3</v>
      </c>
      <c r="H10" s="14" t="n">
        <f aca="false">COUNTIFS(Data!$K$2:$K$401,"&gt;="&amp;A10,Data!$K$2:$K$401,"&lt;"&amp;B10,Data!$E$2:$E$401,"Herfst")</f>
        <v>8</v>
      </c>
    </row>
    <row r="11" customFormat="false" ht="15" hidden="false" customHeight="true" outlineLevel="0" collapsed="false">
      <c r="A11" s="15" t="n">
        <f aca="false">B10</f>
        <v>7</v>
      </c>
      <c r="B11" s="15" t="n">
        <f aca="false">A11+Instellingen!$B$6</f>
        <v>8</v>
      </c>
      <c r="C11" s="14" t="str">
        <f aca="false">TEXT(A11,"0")&amp;"–"&amp;TEXT(B11,"0")</f>
        <v>7–8</v>
      </c>
      <c r="D11" s="14" t="n">
        <f aca="false">COUNTIFS(Data!$K$2:$K$401,"&gt;="&amp;A11,Data!$K$2:$K$401,"&lt;"&amp;B11)</f>
        <v>25</v>
      </c>
      <c r="E11" s="14" t="n">
        <f aca="false">COUNTIFS(Data!$K$2:$K$401,"&gt;="&amp;A11,Data!$K$2:$K$401,"&lt;"&amp;B11,Data!$E$2:$E$401,"Winter")</f>
        <v>0</v>
      </c>
      <c r="F11" s="14" t="n">
        <f aca="false">COUNTIFS(Data!$K$2:$K$401,"&gt;="&amp;A11,Data!$K$2:$K$401,"&lt;"&amp;B11,Data!$E$2:$E$401,"Lente")</f>
        <v>9</v>
      </c>
      <c r="G11" s="14" t="n">
        <f aca="false">COUNTIFS(Data!$K$2:$K$401,"&gt;="&amp;A11,Data!$K$2:$K$401,"&lt;"&amp;B11,Data!$E$2:$E$401,"Zomer")</f>
        <v>9</v>
      </c>
      <c r="H11" s="14" t="n">
        <f aca="false">COUNTIFS(Data!$K$2:$K$401,"&gt;="&amp;A11,Data!$K$2:$K$401,"&lt;"&amp;B11,Data!$E$2:$E$401,"Herfst")</f>
        <v>7</v>
      </c>
    </row>
    <row r="12" customFormat="false" ht="15" hidden="false" customHeight="true" outlineLevel="0" collapsed="false">
      <c r="A12" s="15" t="n">
        <f aca="false">B11</f>
        <v>8</v>
      </c>
      <c r="B12" s="15" t="n">
        <f aca="false">A12+Instellingen!$B$6</f>
        <v>9</v>
      </c>
      <c r="C12" s="14" t="str">
        <f aca="false">TEXT(A12,"0")&amp;"–"&amp;TEXT(B12,"0")</f>
        <v>8–9</v>
      </c>
      <c r="D12" s="14" t="n">
        <f aca="false">COUNTIFS(Data!$K$2:$K$401,"&gt;="&amp;A12,Data!$K$2:$K$401,"&lt;"&amp;B12)</f>
        <v>14</v>
      </c>
      <c r="E12" s="14" t="n">
        <f aca="false">COUNTIFS(Data!$K$2:$K$401,"&gt;="&amp;A12,Data!$K$2:$K$401,"&lt;"&amp;B12,Data!$E$2:$E$401,"Winter")</f>
        <v>1</v>
      </c>
      <c r="F12" s="14" t="n">
        <f aca="false">COUNTIFS(Data!$K$2:$K$401,"&gt;="&amp;A12,Data!$K$2:$K$401,"&lt;"&amp;B12,Data!$E$2:$E$401,"Lente")</f>
        <v>7</v>
      </c>
      <c r="G12" s="14" t="n">
        <f aca="false">COUNTIFS(Data!$K$2:$K$401,"&gt;="&amp;A12,Data!$K$2:$K$401,"&lt;"&amp;B12,Data!$E$2:$E$401,"Zomer")</f>
        <v>3</v>
      </c>
      <c r="H12" s="14" t="n">
        <f aca="false">COUNTIFS(Data!$K$2:$K$401,"&gt;="&amp;A12,Data!$K$2:$K$401,"&lt;"&amp;B12,Data!$E$2:$E$401,"Herfst")</f>
        <v>3</v>
      </c>
    </row>
    <row r="13" customFormat="false" ht="15" hidden="false" customHeight="true" outlineLevel="0" collapsed="false">
      <c r="A13" s="15" t="n">
        <f aca="false">B12</f>
        <v>9</v>
      </c>
      <c r="B13" s="15" t="n">
        <f aca="false">A13+Instellingen!$B$6</f>
        <v>10</v>
      </c>
      <c r="C13" s="14" t="str">
        <f aca="false">TEXT(A13,"0")&amp;"–"&amp;TEXT(B13,"0")</f>
        <v>9–10</v>
      </c>
      <c r="D13" s="14" t="n">
        <f aca="false">COUNTIFS(Data!$K$2:$K$401,"&gt;="&amp;A13,Data!$K$2:$K$401,"&lt;"&amp;B13)</f>
        <v>11</v>
      </c>
      <c r="E13" s="14" t="n">
        <f aca="false">COUNTIFS(Data!$K$2:$K$401,"&gt;="&amp;A13,Data!$K$2:$K$401,"&lt;"&amp;B13,Data!$E$2:$E$401,"Winter")</f>
        <v>1</v>
      </c>
      <c r="F13" s="14" t="n">
        <f aca="false">COUNTIFS(Data!$K$2:$K$401,"&gt;="&amp;A13,Data!$K$2:$K$401,"&lt;"&amp;B13,Data!$E$2:$E$401,"Lente")</f>
        <v>2</v>
      </c>
      <c r="G13" s="14" t="n">
        <f aca="false">COUNTIFS(Data!$K$2:$K$401,"&gt;="&amp;A13,Data!$K$2:$K$401,"&lt;"&amp;B13,Data!$E$2:$E$401,"Zomer")</f>
        <v>3</v>
      </c>
      <c r="H13" s="14" t="n">
        <f aca="false">COUNTIFS(Data!$K$2:$K$401,"&gt;="&amp;A13,Data!$K$2:$K$401,"&lt;"&amp;B13,Data!$E$2:$E$401,"Herfst")</f>
        <v>5</v>
      </c>
    </row>
    <row r="14" customFormat="false" ht="15" hidden="false" customHeight="true" outlineLevel="0" collapsed="false">
      <c r="A14" s="15" t="n">
        <f aca="false">B13</f>
        <v>10</v>
      </c>
      <c r="B14" s="15" t="n">
        <f aca="false">A14+Instellingen!$B$6</f>
        <v>11</v>
      </c>
      <c r="C14" s="14" t="str">
        <f aca="false">TEXT(A14,"0")&amp;"–"&amp;TEXT(B14,"0")</f>
        <v>10–11</v>
      </c>
      <c r="D14" s="14" t="n">
        <f aca="false">COUNTIFS(Data!$K$2:$K$401,"&gt;="&amp;A14,Data!$K$2:$K$401,"&lt;"&amp;B14)</f>
        <v>9</v>
      </c>
      <c r="E14" s="14" t="n">
        <f aca="false">COUNTIFS(Data!$K$2:$K$401,"&gt;="&amp;A14,Data!$K$2:$K$401,"&lt;"&amp;B14,Data!$E$2:$E$401,"Winter")</f>
        <v>1</v>
      </c>
      <c r="F14" s="14" t="n">
        <f aca="false">COUNTIFS(Data!$K$2:$K$401,"&gt;="&amp;A14,Data!$K$2:$K$401,"&lt;"&amp;B14,Data!$E$2:$E$401,"Lente")</f>
        <v>4</v>
      </c>
      <c r="G14" s="14" t="n">
        <f aca="false">COUNTIFS(Data!$K$2:$K$401,"&gt;="&amp;A14,Data!$K$2:$K$401,"&lt;"&amp;B14,Data!$E$2:$E$401,"Zomer")</f>
        <v>2</v>
      </c>
      <c r="H14" s="14" t="n">
        <f aca="false">COUNTIFS(Data!$K$2:$K$401,"&gt;="&amp;A14,Data!$K$2:$K$401,"&lt;"&amp;B14,Data!$E$2:$E$401,"Herfst")</f>
        <v>2</v>
      </c>
    </row>
    <row r="15" customFormat="false" ht="15" hidden="false" customHeight="true" outlineLevel="0" collapsed="false">
      <c r="A15" s="15" t="n">
        <f aca="false">B14</f>
        <v>11</v>
      </c>
      <c r="B15" s="15" t="n">
        <f aca="false">A15+Instellingen!$B$6</f>
        <v>12</v>
      </c>
      <c r="C15" s="14" t="str">
        <f aca="false">TEXT(A15,"0")&amp;"–"&amp;TEXT(B15,"0")</f>
        <v>11–12</v>
      </c>
      <c r="D15" s="14" t="n">
        <f aca="false">COUNTIFS(Data!$K$2:$K$401,"&gt;="&amp;A15,Data!$K$2:$K$401,"&lt;"&amp;B15)</f>
        <v>4</v>
      </c>
      <c r="E15" s="14" t="n">
        <f aca="false">COUNTIFS(Data!$K$2:$K$401,"&gt;="&amp;A15,Data!$K$2:$K$401,"&lt;"&amp;B15,Data!$E$2:$E$401,"Winter")</f>
        <v>0</v>
      </c>
      <c r="F15" s="14" t="n">
        <f aca="false">COUNTIFS(Data!$K$2:$K$401,"&gt;="&amp;A15,Data!$K$2:$K$401,"&lt;"&amp;B15,Data!$E$2:$E$401,"Lente")</f>
        <v>3</v>
      </c>
      <c r="G15" s="14" t="n">
        <f aca="false">COUNTIFS(Data!$K$2:$K$401,"&gt;="&amp;A15,Data!$K$2:$K$401,"&lt;"&amp;B15,Data!$E$2:$E$401,"Zomer")</f>
        <v>0</v>
      </c>
      <c r="H15" s="14" t="n">
        <f aca="false">COUNTIFS(Data!$K$2:$K$401,"&gt;="&amp;A15,Data!$K$2:$K$401,"&lt;"&amp;B15,Data!$E$2:$E$401,"Herfst")</f>
        <v>1</v>
      </c>
    </row>
    <row r="16" customFormat="false" ht="15" hidden="false" customHeight="true" outlineLevel="0" collapsed="false">
      <c r="A16" s="15" t="n">
        <f aca="false">B15</f>
        <v>12</v>
      </c>
      <c r="B16" s="15" t="n">
        <f aca="false">A16+Instellingen!$B$6</f>
        <v>13</v>
      </c>
      <c r="C16" s="14" t="str">
        <f aca="false">TEXT(A16,"0")&amp;"–"&amp;TEXT(B16,"0")</f>
        <v>12–13</v>
      </c>
      <c r="D16" s="14" t="n">
        <f aca="false">COUNTIFS(Data!$K$2:$K$401,"&gt;="&amp;A16,Data!$K$2:$K$401,"&lt;"&amp;B16)</f>
        <v>3</v>
      </c>
      <c r="E16" s="14" t="n">
        <f aca="false">COUNTIFS(Data!$K$2:$K$401,"&gt;="&amp;A16,Data!$K$2:$K$401,"&lt;"&amp;B16,Data!$E$2:$E$401,"Winter")</f>
        <v>0</v>
      </c>
      <c r="F16" s="14" t="n">
        <f aca="false">COUNTIFS(Data!$K$2:$K$401,"&gt;="&amp;A16,Data!$K$2:$K$401,"&lt;"&amp;B16,Data!$E$2:$E$401,"Lente")</f>
        <v>1</v>
      </c>
      <c r="G16" s="14" t="n">
        <f aca="false">COUNTIFS(Data!$K$2:$K$401,"&gt;="&amp;A16,Data!$K$2:$K$401,"&lt;"&amp;B16,Data!$E$2:$E$401,"Zomer")</f>
        <v>1</v>
      </c>
      <c r="H16" s="14" t="n">
        <f aca="false">COUNTIFS(Data!$K$2:$K$401,"&gt;="&amp;A16,Data!$K$2:$K$401,"&lt;"&amp;B16,Data!$E$2:$E$401,"Herfst")</f>
        <v>1</v>
      </c>
    </row>
    <row r="17" customFormat="false" ht="15" hidden="false" customHeight="true" outlineLevel="0" collapsed="false">
      <c r="A17" s="15" t="n">
        <f aca="false">B16</f>
        <v>13</v>
      </c>
      <c r="B17" s="15" t="n">
        <f aca="false">A17+Instellingen!$B$6</f>
        <v>14</v>
      </c>
      <c r="C17" s="14" t="str">
        <f aca="false">TEXT(A17,"0")&amp;"–"&amp;TEXT(B17,"0")</f>
        <v>13–14</v>
      </c>
      <c r="D17" s="14" t="n">
        <f aca="false">COUNTIFS(Data!$K$2:$K$401,"&gt;="&amp;A17,Data!$K$2:$K$401,"&lt;"&amp;B17)</f>
        <v>2</v>
      </c>
      <c r="E17" s="14" t="n">
        <f aca="false">COUNTIFS(Data!$K$2:$K$401,"&gt;="&amp;A17,Data!$K$2:$K$401,"&lt;"&amp;B17,Data!$E$2:$E$401,"Winter")</f>
        <v>0</v>
      </c>
      <c r="F17" s="14" t="n">
        <f aca="false">COUNTIFS(Data!$K$2:$K$401,"&gt;="&amp;A17,Data!$K$2:$K$401,"&lt;"&amp;B17,Data!$E$2:$E$401,"Lente")</f>
        <v>1</v>
      </c>
      <c r="G17" s="14" t="n">
        <f aca="false">COUNTIFS(Data!$K$2:$K$401,"&gt;="&amp;A17,Data!$K$2:$K$401,"&lt;"&amp;B17,Data!$E$2:$E$401,"Zomer")</f>
        <v>0</v>
      </c>
      <c r="H17" s="14" t="n">
        <f aca="false">COUNTIFS(Data!$K$2:$K$401,"&gt;="&amp;A17,Data!$K$2:$K$401,"&lt;"&amp;B17,Data!$E$2:$E$401,"Herfst")</f>
        <v>1</v>
      </c>
    </row>
    <row r="18" customFormat="false" ht="15" hidden="false" customHeight="true" outlineLevel="0" collapsed="false">
      <c r="A18" s="15" t="n">
        <f aca="false">B17</f>
        <v>14</v>
      </c>
      <c r="B18" s="15" t="n">
        <f aca="false">A18+Instellingen!$B$6</f>
        <v>15</v>
      </c>
      <c r="C18" s="14" t="str">
        <f aca="false">TEXT(A18,"0")&amp;"–"&amp;TEXT(B18,"0")</f>
        <v>14–15</v>
      </c>
      <c r="D18" s="14" t="n">
        <f aca="false">COUNTIFS(Data!$K$2:$K$401,"&gt;="&amp;A18,Data!$K$2:$K$401,"&lt;"&amp;B18)</f>
        <v>1</v>
      </c>
      <c r="E18" s="14" t="n">
        <f aca="false">COUNTIFS(Data!$K$2:$K$401,"&gt;="&amp;A18,Data!$K$2:$K$401,"&lt;"&amp;B18,Data!$E$2:$E$401,"Winter")</f>
        <v>0</v>
      </c>
      <c r="F18" s="14" t="n">
        <f aca="false">COUNTIFS(Data!$K$2:$K$401,"&gt;="&amp;A18,Data!$K$2:$K$401,"&lt;"&amp;B18,Data!$E$2:$E$401,"Lente")</f>
        <v>1</v>
      </c>
      <c r="G18" s="14" t="n">
        <f aca="false">COUNTIFS(Data!$K$2:$K$401,"&gt;="&amp;A18,Data!$K$2:$K$401,"&lt;"&amp;B18,Data!$E$2:$E$401,"Zomer")</f>
        <v>0</v>
      </c>
      <c r="H18" s="14" t="n">
        <f aca="false">COUNTIFS(Data!$K$2:$K$401,"&gt;="&amp;A18,Data!$K$2:$K$401,"&lt;"&amp;B18,Data!$E$2:$E$401,"Herfst")</f>
        <v>0</v>
      </c>
    </row>
    <row r="19" customFormat="false" ht="15" hidden="false" customHeight="true" outlineLevel="0" collapsed="false">
      <c r="A19" s="15" t="n">
        <f aca="false">B18</f>
        <v>15</v>
      </c>
      <c r="B19" s="15" t="n">
        <f aca="false">A19+Instellingen!$B$6</f>
        <v>16</v>
      </c>
      <c r="C19" s="14" t="str">
        <f aca="false">TEXT(A19,"0")&amp;"–"&amp;TEXT(B19,"0")</f>
        <v>15–16</v>
      </c>
      <c r="D19" s="14" t="n">
        <f aca="false">COUNTIFS(Data!$K$2:$K$401,"&gt;="&amp;A19,Data!$K$2:$K$401,"&lt;"&amp;B19)</f>
        <v>0</v>
      </c>
      <c r="E19" s="14" t="n">
        <f aca="false">COUNTIFS(Data!$K$2:$K$401,"&gt;="&amp;A19,Data!$K$2:$K$401,"&lt;"&amp;B19,Data!$E$2:$E$401,"Winter")</f>
        <v>0</v>
      </c>
      <c r="F19" s="14" t="n">
        <f aca="false">COUNTIFS(Data!$K$2:$K$401,"&gt;="&amp;A19,Data!$K$2:$K$401,"&lt;"&amp;B19,Data!$E$2:$E$401,"Lente")</f>
        <v>0</v>
      </c>
      <c r="G19" s="14" t="n">
        <f aca="false">COUNTIFS(Data!$K$2:$K$401,"&gt;="&amp;A19,Data!$K$2:$K$401,"&lt;"&amp;B19,Data!$E$2:$E$401,"Zomer")</f>
        <v>0</v>
      </c>
      <c r="H19" s="14" t="n">
        <f aca="false">COUNTIFS(Data!$K$2:$K$401,"&gt;="&amp;A19,Data!$K$2:$K$401,"&lt;"&amp;B19,Data!$E$2:$E$401,"Herfst")</f>
        <v>0</v>
      </c>
    </row>
    <row r="20" customFormat="false" ht="15" hidden="false" customHeight="true" outlineLevel="0" collapsed="false">
      <c r="A20" s="15" t="n">
        <f aca="false">B19</f>
        <v>16</v>
      </c>
      <c r="B20" s="15" t="n">
        <f aca="false">A20+Instellingen!$B$6</f>
        <v>17</v>
      </c>
      <c r="C20" s="14" t="str">
        <f aca="false">TEXT(A20,"0")&amp;"–"&amp;TEXT(B20,"0")</f>
        <v>16–17</v>
      </c>
      <c r="D20" s="14" t="n">
        <f aca="false">COUNTIFS(Data!$K$2:$K$401,"&gt;="&amp;A20,Data!$K$2:$K$401,"&lt;"&amp;B20)</f>
        <v>1</v>
      </c>
      <c r="E20" s="14" t="n">
        <f aca="false">COUNTIFS(Data!$K$2:$K$401,"&gt;="&amp;A20,Data!$K$2:$K$401,"&lt;"&amp;B20,Data!$E$2:$E$401,"Winter")</f>
        <v>0</v>
      </c>
      <c r="F20" s="14" t="n">
        <f aca="false">COUNTIFS(Data!$K$2:$K$401,"&gt;="&amp;A20,Data!$K$2:$K$401,"&lt;"&amp;B20,Data!$E$2:$E$401,"Lente")</f>
        <v>1</v>
      </c>
      <c r="G20" s="14" t="n">
        <f aca="false">COUNTIFS(Data!$K$2:$K$401,"&gt;="&amp;A20,Data!$K$2:$K$401,"&lt;"&amp;B20,Data!$E$2:$E$401,"Zomer")</f>
        <v>0</v>
      </c>
      <c r="H20" s="14" t="n">
        <f aca="false">COUNTIFS(Data!$K$2:$K$401,"&gt;="&amp;A20,Data!$K$2:$K$401,"&lt;"&amp;B20,Data!$E$2:$E$401,"Herfst")</f>
        <v>0</v>
      </c>
    </row>
    <row r="21" customFormat="false" ht="15" hidden="false" customHeight="true" outlineLevel="0" collapsed="false">
      <c r="A21" s="15" t="n">
        <f aca="false">B20</f>
        <v>17</v>
      </c>
      <c r="B21" s="15" t="n">
        <f aca="false">A21+Instellingen!$B$6</f>
        <v>18</v>
      </c>
      <c r="C21" s="14" t="str">
        <f aca="false">TEXT(A21,"0")&amp;"–"&amp;TEXT(B21,"0")</f>
        <v>17–18</v>
      </c>
      <c r="D21" s="14" t="n">
        <f aca="false">COUNTIFS(Data!$K$2:$K$401,"&gt;="&amp;A21,Data!$K$2:$K$401,"&lt;"&amp;B21)</f>
        <v>0</v>
      </c>
      <c r="E21" s="14" t="n">
        <f aca="false">COUNTIFS(Data!$K$2:$K$401,"&gt;="&amp;A21,Data!$K$2:$K$401,"&lt;"&amp;B21,Data!$E$2:$E$401,"Winter")</f>
        <v>0</v>
      </c>
      <c r="F21" s="14" t="n">
        <f aca="false">COUNTIFS(Data!$K$2:$K$401,"&gt;="&amp;A21,Data!$K$2:$K$401,"&lt;"&amp;B21,Data!$E$2:$E$401,"Lente")</f>
        <v>0</v>
      </c>
      <c r="G21" s="14" t="n">
        <f aca="false">COUNTIFS(Data!$K$2:$K$401,"&gt;="&amp;A21,Data!$K$2:$K$401,"&lt;"&amp;B21,Data!$E$2:$E$401,"Zomer")</f>
        <v>0</v>
      </c>
      <c r="H21" s="14" t="n">
        <f aca="false">COUNTIFS(Data!$K$2:$K$401,"&gt;="&amp;A21,Data!$K$2:$K$401,"&lt;"&amp;B21,Data!$E$2:$E$401,"Herfst")</f>
        <v>0</v>
      </c>
    </row>
    <row r="22" customFormat="false" ht="15" hidden="false" customHeight="true" outlineLevel="0" collapsed="false">
      <c r="A22" s="15" t="n">
        <f aca="false">B21</f>
        <v>18</v>
      </c>
      <c r="B22" s="15" t="n">
        <f aca="false">A22+Instellingen!$B$6</f>
        <v>19</v>
      </c>
      <c r="C22" s="14" t="str">
        <f aca="false">TEXT(A22,"0")&amp;"–"&amp;TEXT(B22,"0")</f>
        <v>18–19</v>
      </c>
      <c r="D22" s="14" t="n">
        <f aca="false">COUNTIFS(Data!$K$2:$K$401,"&gt;="&amp;A22,Data!$K$2:$K$401,"&lt;"&amp;B22)</f>
        <v>0</v>
      </c>
      <c r="E22" s="14" t="n">
        <f aca="false">COUNTIFS(Data!$K$2:$K$401,"&gt;="&amp;A22,Data!$K$2:$K$401,"&lt;"&amp;B22,Data!$E$2:$E$401,"Winter")</f>
        <v>0</v>
      </c>
      <c r="F22" s="14" t="n">
        <f aca="false">COUNTIFS(Data!$K$2:$K$401,"&gt;="&amp;A22,Data!$K$2:$K$401,"&lt;"&amp;B22,Data!$E$2:$E$401,"Lente")</f>
        <v>0</v>
      </c>
      <c r="G22" s="14" t="n">
        <f aca="false">COUNTIFS(Data!$K$2:$K$401,"&gt;="&amp;A22,Data!$K$2:$K$401,"&lt;"&amp;B22,Data!$E$2:$E$401,"Zomer")</f>
        <v>0</v>
      </c>
      <c r="H22" s="14" t="n">
        <f aca="false">COUNTIFS(Data!$K$2:$K$401,"&gt;="&amp;A22,Data!$K$2:$K$401,"&lt;"&amp;B22,Data!$E$2:$E$401,"Herfst")</f>
        <v>0</v>
      </c>
    </row>
    <row r="23" customFormat="false" ht="15" hidden="false" customHeight="true" outlineLevel="0" collapsed="false">
      <c r="C23" s="11" t="s">
        <v>55</v>
      </c>
      <c r="D23" s="11" t="n">
        <f aca="false">SUM(D4:D22)</f>
        <v>400</v>
      </c>
      <c r="E23" s="11" t="n">
        <f aca="false">SUM(E4:E22)</f>
        <v>90</v>
      </c>
      <c r="F23" s="11" t="n">
        <f aca="false">SUM(F4:F22)</f>
        <v>92</v>
      </c>
      <c r="G23" s="11" t="n">
        <f aca="false">SUM(G4:G22)</f>
        <v>95</v>
      </c>
      <c r="H23" s="11" t="n">
        <f aca="false">SUM(H4:H22)</f>
        <v>123</v>
      </c>
    </row>
    <row r="24" customFormat="false" ht="15" hidden="false" customHeight="true" outlineLevel="0" collapsed="false">
      <c r="A24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2026-10-03T17:39:55Z</dcterms:created>
  <dc:creator>openpyxl</dc:creator>
  <dc:description/>
  <dc:language>en-US</dc:language>
  <cp:lastModifiedBy/>
  <dcterms:modified xsi:type="dcterms:W3CDTF">2026-10-03T17:40:07Z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